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fasteningspecialists-my.sharepoint.com/personal/tclark_bigleaguecs_com/Documents/Microsoft Teams Chat Files/"/>
    </mc:Choice>
  </mc:AlternateContent>
  <xr:revisionPtr revIDLastSave="448" documentId="8_{3F24327F-EC52-4F7F-ACA9-BB3F539F1221}" xr6:coauthVersionLast="47" xr6:coauthVersionMax="47" xr10:uidLastSave="{6A5FC72D-A19D-47F0-BD57-17609ADBFF98}"/>
  <bookViews>
    <workbookView xWindow="-120" yWindow="-120" windowWidth="29040" windowHeight="15720" firstSheet="3" activeTab="3" xr2:uid="{3754C338-7C8F-4EBD-9EF2-59AD3C1E17E9}"/>
  </bookViews>
  <sheets>
    <sheet name="Appendix" sheetId="3" r:id="rId1"/>
    <sheet name="4-27" sheetId="2" r:id="rId2"/>
    <sheet name="5-4" sheetId="5" r:id="rId3"/>
    <sheet name="5-11" sheetId="7" r:id="rId4"/>
    <sheet name="Sheet1"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9" i="7" l="1"/>
  <c r="D25" i="7"/>
  <c r="G41" i="5"/>
  <c r="K29" i="5"/>
  <c r="K31" i="5"/>
  <c r="K33" i="5"/>
  <c r="D25" i="5"/>
  <c r="G38" i="2"/>
  <c r="G31" i="2" l="1"/>
  <c r="G33" i="2"/>
  <c r="G41" i="2"/>
  <c r="G29" i="2"/>
  <c r="D2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Chip Bridges</author>
  </authors>
  <commentList>
    <comment ref="G66" authorId="0" shapeId="0" xr:uid="{114B01AE-F047-4DAA-9E7C-07783B4CDF3A}">
      <text>
        <r>
          <rPr>
            <sz val="11"/>
            <color theme="1"/>
            <rFont val="Aptos Narrow"/>
            <family val="2"/>
            <scheme val="minor"/>
          </rPr>
          <t>Chip Bridges:
Lot Code / Date Tracking Temporary Workaround Process
Training on lot code and date entry in Acumatica was completed the day after the initial meeting. At that time, no temporary manual tracking workaround had been defined.
A temporary workaround has now been created to bridge the gap until the required Acumatica functionality becomes available. The Receiving Department is currently collecting the required data for all qualifying SKUs and will maintain the temporary workaround spreadsheet until the system process is activated.
For purposes of this temporary workaround, we are currently assuming that any chemical product with a date code should be included. Based on the initial review, this is expected to involve roughly 200 SKUs or SKU entries.
Current Temporary Workaround Process
Collect existing warehouse inventory data manually.
The Receiving Department will collect the required information currently in the warehouse using pen and paper. Some items may have multiple date codes, so the following information must be recorded for each applicable item:
SKU
Quantity
Date / lot code
Audit the satellite warehouse.
Once the main warehouse audit is complete, a visit will be scheduled to the satellite warehouse to perform a full audit and record the same SKU, quantity, and date / lot code information for any qualifying products stored there.
Enter the information into the temporary workaround spreadsheet.
All collected information will be entered into a temporary workaround spreadsheet. This spreadsheet will be maintained until the required functionality becomes available in Acumatica.
Maintain the temporary workaround during receiving.
Once receiving resumes, any qualifying product received into inventory must be entered into the temporary workaround spreadsheet.
Update the temporary workaround when dated product is sold.
Any sold product that meets the date-tracking requirements must be cross-referenced against the temporary workaround spreadsheet. The spreadsheet must then be updated to reflect the quantity sold.
Department Ownership
The Receiving Department is responsible for collecting, recording, and maintaining this data.
Receiving will own both the temporary workaround process and the final process once the required Acumatica functionality is activated and implemented.
Receiving will not resume receiving any product until the initial data collection task is complete. This may take a couple of days.
Current Serial Number Temporary Workaround for Tools
The current temporary workaround process for tool serial numbers is to handwrite the serial number on the packing slip on all qualifying items if serial number tracking proves to be a requirement.
At this time, the DeWALT representative has been unable to provide serial number information at the time of sale. Based on the email thread, their position appears to be that this information is not required.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Chip Bridges</author>
  </authors>
  <commentList>
    <comment ref="G66" authorId="0" shapeId="0" xr:uid="{75B1EAEF-A406-4979-A30E-EFA765E9B2D3}">
      <text>
        <r>
          <rPr>
            <sz val="11"/>
            <color theme="1"/>
            <rFont val="Aptos Narrow"/>
            <family val="2"/>
            <scheme val="minor"/>
          </rPr>
          <t>Chip Bridges:
Lot Code / Date Tracking Temporary Workaround Process
Training on lot code and date entry in Acumatica was completed the day after the initial meeting. At that time, no temporary manual tracking workaround had been defined.
A temporary workaround has now been created to bridge the gap until the required Acumatica functionality becomes available. The Receiving Department is currently collecting the required data for all qualifying SKUs and will maintain the temporary workaround spreadsheet until the system process is activated.
For purposes of this temporary workaround, we are currently assuming that any chemical product with a date code should be included. Based on the initial review, this is expected to involve roughly 200 SKUs or SKU entries.
Current Temporary Workaround Process
Collect existing warehouse inventory data manually.
The Receiving Department will collect the required information currently in the warehouse using pen and paper. Some items may have multiple date codes, so the following information must be recorded for each applicable item:
SKU
Quantity
Date / lot code
Audit the satellite warehouse.
Once the main warehouse audit is complete, a visit will be scheduled to the satellite warehouse to perform a full audit and record the same SKU, quantity, and date / lot code information for any qualifying products stored there.
Enter the information into the temporary workaround spreadsheet.
All collected information will be entered into a temporary workaround spreadsheet. This spreadsheet will be maintained until the required functionality becomes available in Acumatica.
Maintain the temporary workaround during receiving.
Once receiving resumes, any qualifying product received into inventory must be entered into the temporary workaround spreadsheet.
Update the temporary workaround when dated product is sold.
Any sold product that meets the date-tracking requirements must be cross-referenced against the temporary workaround spreadsheet. The spreadsheet must then be updated to reflect the quantity sold.
Department Ownership
The Receiving Department is responsible for collecting, recording, and maintaining this data.
Receiving will own both the temporary workaround process and the final process once the required Acumatica functionality is activated and implemented.
Receiving will not resume receiving any product until the initial data collection task is complete. This may take a couple of days.
Current Serial Number Temporary Workaround for Tools
The current temporary workaround process for tool serial numbers is to handwrite the serial number on the packing slip on all qualifying items if serial number tracking proves to be a requirement.
At this time, the DeWALT representative has been unable to provide serial number information at the time of sale. Based on the email thread, their position appears to be that this information is not required.</t>
        </r>
      </text>
    </comment>
  </commentList>
</comments>
</file>

<file path=xl/sharedStrings.xml><?xml version="1.0" encoding="utf-8"?>
<sst xmlns="http://schemas.openxmlformats.org/spreadsheetml/2006/main" count="820" uniqueCount="270">
  <si>
    <t>FS / BL / USA — L10 Meeting Appendix</t>
  </si>
  <si>
    <t>EOS GLOSSARY</t>
  </si>
  <si>
    <t>Term</t>
  </si>
  <si>
    <t>Definition</t>
  </si>
  <si>
    <t>L10 Meeting</t>
  </si>
  <si>
    <t>Level 10 — weekly leadership meeting scored 1–10 for effectiveness</t>
  </si>
  <si>
    <t>Rocks</t>
  </si>
  <si>
    <t>3–7 quarterly priorities; most important things to accomplish in 90 days</t>
  </si>
  <si>
    <t>Scorecard</t>
  </si>
  <si>
    <t>5–15 weekly measurables that give pulse of the business</t>
  </si>
  <si>
    <t>IDS</t>
  </si>
  <si>
    <t>Identify, Discuss, Solve — structured problem-solving process</t>
  </si>
  <si>
    <t>Issues List</t>
  </si>
  <si>
    <t>Parking lot for all issues, ideas, and obstacles to be IDS'd</t>
  </si>
  <si>
    <t>To-Dos</t>
  </si>
  <si>
    <t>7-day action items owned by one person with a due date</t>
  </si>
  <si>
    <t>Segue</t>
  </si>
  <si>
    <t>Personal/professional good news to transition into meeting mode</t>
  </si>
  <si>
    <t>V/TO</t>
  </si>
  <si>
    <t>Vision/Traction Organizer — defines company vision and plan</t>
  </si>
  <si>
    <t>Accountability Chart</t>
  </si>
  <si>
    <t>Org chart defining seats, roles, and accountabilities (not people)</t>
  </si>
  <si>
    <t>People Analyzer</t>
  </si>
  <si>
    <t>Tool to evaluate team against core values + GWC (Get it, Want it, Capacity)</t>
  </si>
  <si>
    <t>MEETING CHECKLIST</t>
  </si>
  <si>
    <t>Phase</t>
  </si>
  <si>
    <t>Action Item</t>
  </si>
  <si>
    <t>PRE</t>
  </si>
  <si>
    <t>Facilitator confirms agenda and room/link</t>
  </si>
  <si>
    <t>All owners update Scorecard actuals by meeting time</t>
  </si>
  <si>
    <t>All owners update Rock status (On Track / Off Track)</t>
  </si>
  <si>
    <t>Review last week's To-Do list for completion</t>
  </si>
  <si>
    <t>DURING</t>
  </si>
  <si>
    <t>Start on time — no waiting for latecomers</t>
  </si>
  <si>
    <t>Timekeeper enforces segment durations</t>
  </si>
  <si>
    <t>Scribe captures To-Dos and IDS resolutions live</t>
  </si>
  <si>
    <t>Park tangents immediately on Issues List</t>
  </si>
  <si>
    <t>POST</t>
  </si>
  <si>
    <t>Distribute To-Do list within 24 hours</t>
  </si>
  <si>
    <t>Update Issues List with new items and resolved items</t>
  </si>
  <si>
    <t>Cascade key messages to direct reports</t>
  </si>
  <si>
    <t>KPI DEFINITIONS</t>
  </si>
  <si>
    <t>KPI</t>
  </si>
  <si>
    <t>Formula / Definition</t>
  </si>
  <si>
    <t>Target</t>
  </si>
  <si>
    <t>Frequency</t>
  </si>
  <si>
    <t>Owner</t>
  </si>
  <si>
    <t>Revenue (Weekly)</t>
  </si>
  <si>
    <t>Net sales per entity per week</t>
  </si>
  <si>
    <t>Per budget</t>
  </si>
  <si>
    <t>Weekly</t>
  </si>
  <si>
    <t>Gross Profit %</t>
  </si>
  <si>
    <t>GP% = (Revenue – (COGS + Freight Burden)) / Revenue</t>
  </si>
  <si>
    <t>FS: 50%, BL: 30%, USA: 15%</t>
  </si>
  <si>
    <t>Freight Factor</t>
  </si>
  <si>
    <t>FS: 8% of COGS | BL: 5% of COGS</t>
  </si>
  <si>
    <t>Per entity</t>
  </si>
  <si>
    <t>Monthly</t>
  </si>
  <si>
    <t>DSO</t>
  </si>
  <si>
    <t>AR / (Revenue / 365)</t>
  </si>
  <si>
    <t>≤45 days</t>
  </si>
  <si>
    <t>DPO</t>
  </si>
  <si>
    <t>AP / (COGS / 365)</t>
  </si>
  <si>
    <t>≥30 days</t>
  </si>
  <si>
    <t>DIO</t>
  </si>
  <si>
    <t>Inventory / (COGS / 365)</t>
  </si>
  <si>
    <t>≤60 days</t>
  </si>
  <si>
    <t>Inventory Turns</t>
  </si>
  <si>
    <t>COGS / Avg Inventory</t>
  </si>
  <si>
    <t>≥6x</t>
  </si>
  <si>
    <t>Fill Rate %</t>
  </si>
  <si>
    <t>Lines Shipped Complete / Total Lines Ordered</t>
  </si>
  <si>
    <t>≥95%</t>
  </si>
  <si>
    <t>AR Collections ($)</t>
  </si>
  <si>
    <t>Cash collected on AR for the week</t>
  </si>
  <si>
    <t>Per forecast</t>
  </si>
  <si>
    <t>GP per Labor $ (dLER)</t>
  </si>
  <si>
    <t>Gross Profit / Total Direct Labor Cost</t>
  </si>
  <si>
    <t>≥$2.50</t>
  </si>
  <si>
    <t>Cash Conversion Cycle</t>
  </si>
  <si>
    <t>DSO + DIO – DPO</t>
  </si>
  <si>
    <t>≤75 days</t>
  </si>
  <si>
    <t>Open Orders (Backlog)</t>
  </si>
  <si>
    <t>Total open SO value</t>
  </si>
  <si>
    <t>Declining trend</t>
  </si>
  <si>
    <t>IDS PROBLEM-SOLVING GUIDE</t>
  </si>
  <si>
    <t>Step</t>
  </si>
  <si>
    <t>Prompt</t>
  </si>
  <si>
    <t>1. IDENTIFY</t>
  </si>
  <si>
    <t>State the real issue in one sentence. Not the symptom — the root cause.</t>
  </si>
  <si>
    <t>2. DISCUSS</t>
  </si>
  <si>
    <t>Everyone speaks once. No tangents. Challenge assumptions. 10 min max.</t>
  </si>
  <si>
    <t>3. SOLVE</t>
  </si>
  <si>
    <t>Agree on ONE action, ONE owner, ONE due date. If not solvable now, table it.</t>
  </si>
  <si>
    <t>RULES</t>
  </si>
  <si>
    <t>The person who raises the issue states it. Others listen first, then respond.</t>
  </si>
  <si>
    <t>No recycling — once solved, it's off the list unless new data emerges.</t>
  </si>
  <si>
    <t>COLOR LEGEND &amp; FORMATTING KEY</t>
  </si>
  <si>
    <t>Color / Style</t>
  </si>
  <si>
    <t>Meaning</t>
  </si>
  <si>
    <t>Blue Font</t>
  </si>
  <si>
    <t>User input / editable field</t>
  </si>
  <si>
    <t>Black Font</t>
  </si>
  <si>
    <t>Formula or calculated value</t>
  </si>
  <si>
    <t>Green Font</t>
  </si>
  <si>
    <t>Cross-sheet reference</t>
  </si>
  <si>
    <t>Red Font</t>
  </si>
  <si>
    <t>External reference / alert</t>
  </si>
  <si>
    <t>Dark Blue Header</t>
  </si>
  <si>
    <t>Section header</t>
  </si>
  <si>
    <t>Light Blue Fill</t>
  </si>
  <si>
    <t>Alternating row shading</t>
  </si>
  <si>
    <t>Yellow Highlight</t>
  </si>
  <si>
    <t>Uncertainty / needs review</t>
  </si>
  <si>
    <t>FS / BL / USA Leadership Traction Meeting</t>
  </si>
  <si>
    <t>Date:</t>
  </si>
  <si>
    <t>Facilitator:</t>
  </si>
  <si>
    <t>Scribe:</t>
  </si>
  <si>
    <t>Entities:</t>
  </si>
  <si>
    <t>FS, BL, USA</t>
  </si>
  <si>
    <t>Meeting #:</t>
  </si>
  <si>
    <t>Quarter:</t>
  </si>
  <si>
    <t>Attendees:</t>
  </si>
  <si>
    <t>Version:</t>
  </si>
  <si>
    <t>v1.0</t>
  </si>
  <si>
    <t>Date Created:</t>
  </si>
  <si>
    <t>MEETING RULES</t>
  </si>
  <si>
    <t>1. Start and end on time — no exceptions.</t>
  </si>
  <si>
    <t>2. No tangents — park it on the Issues List for IDS.</t>
  </si>
  <si>
    <t>3. One conversation at a time — no side conversations.</t>
  </si>
  <si>
    <t>4. No phones or laptops unless presenting.</t>
  </si>
  <si>
    <t>5. Be present, be open, be honest.</t>
  </si>
  <si>
    <t>6. No sacred cows — everything is on the table.</t>
  </si>
  <si>
    <t>TIMED AGENDA</t>
  </si>
  <si>
    <t>#</t>
  </si>
  <si>
    <t>Segment</t>
  </si>
  <si>
    <t>Time (min)</t>
  </si>
  <si>
    <t>Start</t>
  </si>
  <si>
    <t>End</t>
  </si>
  <si>
    <t>Status</t>
  </si>
  <si>
    <t xml:space="preserve">book study </t>
  </si>
  <si>
    <t>Scorecard Review</t>
  </si>
  <si>
    <t>Anchor Review</t>
  </si>
  <si>
    <t>To-Do Review</t>
  </si>
  <si>
    <t>IDS (Identify, Discuss, Solve)</t>
  </si>
  <si>
    <t>Conclude</t>
  </si>
  <si>
    <t>TOTAL</t>
  </si>
  <si>
    <t>SCORECARD — Weekly KPIs</t>
  </si>
  <si>
    <t>Entity</t>
  </si>
  <si>
    <t>Goal</t>
  </si>
  <si>
    <t>Actual</t>
  </si>
  <si>
    <t>+/–</t>
  </si>
  <si>
    <t>Wk-4</t>
  </si>
  <si>
    <t>Wk-3</t>
  </si>
  <si>
    <t>Wk-2</t>
  </si>
  <si>
    <t>Wk-1</t>
  </si>
  <si>
    <t>DANIEL</t>
  </si>
  <si>
    <t>FS</t>
  </si>
  <si>
    <t>NICK</t>
  </si>
  <si>
    <t>BL</t>
  </si>
  <si>
    <t>ANDREW</t>
  </si>
  <si>
    <t>USA</t>
  </si>
  <si>
    <t>DSO (Days Sales Outstanding)</t>
  </si>
  <si>
    <t>TIM</t>
  </si>
  <si>
    <t>ALL</t>
  </si>
  <si>
    <t>≤45</t>
  </si>
  <si>
    <t>DPO (Days Payable Outstanding)</t>
  </si>
  <si>
    <t>≥30</t>
  </si>
  <si>
    <t>DIO (Days Inventory On Hand)</t>
  </si>
  <si>
    <t>CRAIG</t>
  </si>
  <si>
    <t>≤60</t>
  </si>
  <si>
    <t>≥6</t>
  </si>
  <si>
    <t>TOM</t>
  </si>
  <si>
    <t>LBM 97.11%, MEP 99.13%, CONSUP 98.13%, HDWE 72.89%, IND 77.84%</t>
  </si>
  <si>
    <t>CHRIS B</t>
  </si>
  <si>
    <t xml:space="preserve">CHIP </t>
  </si>
  <si>
    <t>New Accounts Opened</t>
  </si>
  <si>
    <t xml:space="preserve">1 PER WEEK </t>
  </si>
  <si>
    <t xml:space="preserve">ON TIME DELIVERIES </t>
  </si>
  <si>
    <t>ROCK REVIEW — Quarterly Priorities</t>
  </si>
  <si>
    <t>Rock Description</t>
  </si>
  <si>
    <t>Due Date</t>
  </si>
  <si>
    <t>Notes</t>
  </si>
  <si>
    <t>Implement Acumatica inventory module</t>
  </si>
  <si>
    <t>Q2 2026</t>
  </si>
  <si>
    <t>Off Track</t>
  </si>
  <si>
    <t>Migration to the upgraded/updated module</t>
  </si>
  <si>
    <t xml:space="preserve">FIX LABELING PROCESS AND TRAIN TEAM TO EXECUTE </t>
  </si>
  <si>
    <t>On Track</t>
  </si>
  <si>
    <t>Need to complete training videos and develop scorecard</t>
  </si>
  <si>
    <t>COMPANY AI MODULE V1.0</t>
  </si>
  <si>
    <t xml:space="preserve">MOVE USA TO ACUMATICA </t>
  </si>
  <si>
    <t>Reduce DSO to ≤35 days</t>
  </si>
  <si>
    <t>Complete COA migration to new structure</t>
  </si>
  <si>
    <t>ONBOARD LOGISITICS SYSTEM/PARTNER(S)</t>
  </si>
  <si>
    <t>MIKE</t>
  </si>
  <si>
    <t xml:space="preserve">UPDATE COMPANY Sops </t>
  </si>
  <si>
    <t xml:space="preserve">CRM build out completion for FS </t>
  </si>
  <si>
    <t xml:space="preserve">completion = </t>
  </si>
  <si>
    <t>TO-DO REVIEW — Last Week's Action Items</t>
  </si>
  <si>
    <t>To-Do Item</t>
  </si>
  <si>
    <t>Done?</t>
  </si>
  <si>
    <t xml:space="preserve">PRODUCTION LIST GI </t>
  </si>
  <si>
    <t>No</t>
  </si>
  <si>
    <t xml:space="preserve">DEAD STOCK 10K </t>
  </si>
  <si>
    <t>13 items</t>
  </si>
  <si>
    <t xml:space="preserve">DEAD STOCK 5K </t>
  </si>
  <si>
    <t xml:space="preserve">REACH OUT TO VENDORS REGARDING BUYBACK </t>
  </si>
  <si>
    <t>Yes</t>
  </si>
  <si>
    <t xml:space="preserve">TRAIN STAFF ON LOT CODES FOR TOOLS AND CHEMS </t>
  </si>
  <si>
    <t>CHIP</t>
  </si>
  <si>
    <t xml:space="preserve">GATHER QUOTE FOR CONF ROOM WORK </t>
  </si>
  <si>
    <t xml:space="preserve">definition of crm completion </t>
  </si>
  <si>
    <t xml:space="preserve">send product tier classes to daniel </t>
  </si>
  <si>
    <t>IDS — Identify, Discuss, Solve</t>
  </si>
  <si>
    <t>Issue</t>
  </si>
  <si>
    <t>Priority</t>
  </si>
  <si>
    <t>Root Cause</t>
  </si>
  <si>
    <t>Resolution</t>
  </si>
  <si>
    <t xml:space="preserve">update rocks ? </t>
  </si>
  <si>
    <t>3 - Medium</t>
  </si>
  <si>
    <t>daniel</t>
  </si>
  <si>
    <t>trying to get inv planning module in live production</t>
  </si>
  <si>
    <t>1 - Critical</t>
  </si>
  <si>
    <t xml:space="preserve">TIm </t>
  </si>
  <si>
    <t xml:space="preserve">unk </t>
  </si>
  <si>
    <t xml:space="preserve">testing sandbox needs to be stood up </t>
  </si>
  <si>
    <t xml:space="preserve">dead stock report parameters </t>
  </si>
  <si>
    <t>Craig</t>
  </si>
  <si>
    <t>fill rate at 95% is unachievable based on safety stock min/max</t>
  </si>
  <si>
    <t>2 - High</t>
  </si>
  <si>
    <t>Tom</t>
  </si>
  <si>
    <t xml:space="preserve">fill rate is too expensive </t>
  </si>
  <si>
    <t xml:space="preserve">need to know when special orders are received </t>
  </si>
  <si>
    <t xml:space="preserve">no flag in acumatica to tell us when it hits the dock </t>
  </si>
  <si>
    <t xml:space="preserve">premature invoices </t>
  </si>
  <si>
    <t xml:space="preserve">dead stock report cadence </t>
  </si>
  <si>
    <t xml:space="preserve">how do we reduce cycle time on receiving </t>
  </si>
  <si>
    <t>scoreboard creation - quote received to product hits the ground (POD)</t>
  </si>
  <si>
    <t xml:space="preserve">issue dumping ground </t>
  </si>
  <si>
    <t>CONCLUDE</t>
  </si>
  <si>
    <t>Recap New To-Dos:</t>
  </si>
  <si>
    <t>Cascading Messages:</t>
  </si>
  <si>
    <t>Meeting Rating (1–10):</t>
  </si>
  <si>
    <t>Avg:</t>
  </si>
  <si>
    <t>Notes:</t>
  </si>
  <si>
    <r>
      <t xml:space="preserve">Last week inventory = </t>
    </r>
    <r>
      <rPr>
        <b/>
        <sz val="11"/>
        <color theme="1"/>
        <rFont val="Aptos Narrow"/>
        <family val="2"/>
        <scheme val="minor"/>
      </rPr>
      <t>2,375,912.68</t>
    </r>
    <r>
      <rPr>
        <sz val="11"/>
        <color theme="1"/>
        <rFont val="Aptos Narrow"/>
        <family val="2"/>
        <scheme val="minor"/>
      </rPr>
      <t>; Current inventory = 2,350,115.24; Last week COGS = 143,055.22;  Weekly turns: 0.0605</t>
    </r>
  </si>
  <si>
    <t>53-Open/31-BO</t>
  </si>
  <si>
    <t>back orders and in shipping</t>
  </si>
  <si>
    <t>when we close and date is requested (need time in future)</t>
  </si>
  <si>
    <t>BOM Upload Scenario Completed 5/11 by Acumatica</t>
  </si>
  <si>
    <t>not access??</t>
  </si>
  <si>
    <t>Need to complete training videos and develop scorecard/</t>
  </si>
  <si>
    <t>remove from Anchor; becomes To Do</t>
  </si>
  <si>
    <t xml:space="preserve">been moved over now just setting up </t>
  </si>
  <si>
    <t>completed</t>
  </si>
  <si>
    <t>completion = Standards/Scoreboard &amp; KPIs dashboard visibile and tracked</t>
  </si>
  <si>
    <t>No new sales last week- still at 4K</t>
  </si>
  <si>
    <t xml:space="preserve">Vendor has not completed a realistic proposal </t>
  </si>
  <si>
    <t xml:space="preserve">daniel do the forecast and </t>
  </si>
  <si>
    <t>Usage Report by class Generic Inquiry Shared</t>
  </si>
  <si>
    <t>add second layer to special orders notification problem</t>
  </si>
  <si>
    <t>Chip</t>
  </si>
  <si>
    <t xml:space="preserve">Complete - receiving alert is active, email notification is active. </t>
  </si>
  <si>
    <t>done/review</t>
  </si>
  <si>
    <t>how do we gt people access to information; who cares when received, only matters when going out delivery.</t>
  </si>
  <si>
    <r>
      <t xml:space="preserve">Last week inventory = </t>
    </r>
    <r>
      <rPr>
        <b/>
        <sz val="11"/>
        <color theme="1"/>
        <rFont val="Aptos Narrow"/>
        <family val="2"/>
        <scheme val="minor"/>
      </rPr>
      <t>2,375,912.68</t>
    </r>
    <r>
      <rPr>
        <sz val="11"/>
        <color theme="1"/>
        <rFont val="Aptos Narrow"/>
        <family val="2"/>
        <scheme val="minor"/>
      </rPr>
      <t>; Current inventory = 2,350,115.24; Last week COGS = 143,055.22;  Weekly turns: 0.0605</t>
    </r>
  </si>
  <si>
    <t>Done- Take off Rock</t>
  </si>
  <si>
    <t>Performing Data Migration for switch to Premium</t>
  </si>
  <si>
    <t xml:space="preserve">$4k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</si>
</sst>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23">
    <font>
      <sz val="11"/>
      <color theme="1"/>
      <name val="Aptos Narrow"/>
      <family val="2"/>
      <scheme val="minor"/>
    </font>
    <font>
      <b/>
      <sz val="14"/>
      <color rgb="FFFFFFFF"/>
      <name val="Calibri"/>
      <family val="2"/>
    </font>
    <font>
      <b/>
      <sz val="11"/>
      <color rgb="FF000000"/>
      <name val="Calibri"/>
      <family val="2"/>
    </font>
    <font>
      <sz val="11"/>
      <color rgb="FF0000FF"/>
      <name val="Calibri"/>
      <family val="2"/>
    </font>
    <font>
      <b/>
      <sz val="12"/>
      <color rgb="FFFFFFFF"/>
      <name val="Calibri"/>
      <family val="2"/>
    </font>
    <font>
      <sz val="10"/>
      <color theme="1"/>
      <name val="Calibri"/>
      <family val="2"/>
    </font>
    <font>
      <sz val="10"/>
      <color rgb="FF333333"/>
      <name val="Calibri"/>
      <family val="2"/>
    </font>
    <font>
      <b/>
      <sz val="10"/>
      <color theme="1"/>
      <name val="Calibri"/>
      <family val="2"/>
    </font>
    <font>
      <b/>
      <sz val="10"/>
      <color rgb="FFFFFFFF"/>
      <name val="Calibri"/>
      <family val="2"/>
    </font>
    <font>
      <sz val="10"/>
      <color rgb="FF0000FF"/>
      <name val="Calibri"/>
      <family val="2"/>
    </font>
    <font>
      <b/>
      <sz val="10"/>
      <color rgb="FF000000"/>
      <name val="Calibri"/>
      <family val="2"/>
    </font>
    <font>
      <b/>
      <sz val="10"/>
      <color rgb="FF0000FF"/>
      <name val="Calibri"/>
      <family val="2"/>
    </font>
    <font>
      <b/>
      <sz val="10"/>
      <color rgb="FF008000"/>
      <name val="Calibri"/>
      <family val="2"/>
    </font>
    <font>
      <b/>
      <sz val="10"/>
      <color rgb="FFFF0000"/>
      <name val="Calibri"/>
      <family val="2"/>
    </font>
    <font>
      <sz val="8"/>
      <name val="Aptos Narrow"/>
      <family val="2"/>
      <scheme val="minor"/>
    </font>
    <font>
      <sz val="12"/>
      <color theme="1"/>
      <name val="Calibri"/>
      <family val="2"/>
    </font>
    <font>
      <sz val="12"/>
      <color rgb="FF0000FF"/>
      <name val="Calibri"/>
      <family val="2"/>
    </font>
    <font>
      <sz val="12"/>
      <color rgb="FF000000"/>
      <name val="Calibri"/>
      <family val="2"/>
    </font>
    <font>
      <b/>
      <sz val="12"/>
      <color theme="1"/>
      <name val="Calibri"/>
      <family val="2"/>
    </font>
    <font>
      <sz val="12"/>
      <color theme="1"/>
      <name val="Aptos Narrow"/>
      <family val="2"/>
      <scheme val="minor"/>
    </font>
    <font>
      <b/>
      <sz val="11"/>
      <color theme="1"/>
      <name val="Aptos Narrow"/>
      <family val="2"/>
      <scheme val="minor"/>
    </font>
    <font>
      <sz val="11"/>
      <color theme="1"/>
      <name val="Aptos Narrow"/>
      <family val="2"/>
      <scheme val="minor"/>
    </font>
    <font>
      <sz val="12"/>
      <color rgb="FF0000FF"/>
      <name val="Calibri"/>
    </font>
  </fonts>
  <fills count="10">
    <fill>
      <patternFill patternType="none"/>
    </fill>
    <fill>
      <patternFill patternType="gray125"/>
    </fill>
    <fill>
      <patternFill patternType="solid">
        <fgColor rgb="FF1F3864"/>
        <bgColor indexed="64"/>
      </patternFill>
    </fill>
    <fill>
      <patternFill patternType="solid">
        <fgColor rgb="FFD6E4F0"/>
        <bgColor indexed="64"/>
      </patternFill>
    </fill>
    <fill>
      <patternFill patternType="solid">
        <fgColor rgb="FF2E75B6"/>
        <bgColor indexed="64"/>
      </patternFill>
    </fill>
    <fill>
      <patternFill patternType="solid">
        <fgColor rgb="FFF2F2F2"/>
        <bgColor indexed="64"/>
      </patternFill>
    </fill>
    <fill>
      <patternFill patternType="solid">
        <fgColor rgb="FFE9EDF4"/>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s>
  <borders count="9">
    <border>
      <left/>
      <right/>
      <top/>
      <bottom/>
      <diagonal/>
    </border>
    <border>
      <left style="thin">
        <color rgb="FFB4C6E7"/>
      </left>
      <right style="thin">
        <color rgb="FFB4C6E7"/>
      </right>
      <top style="thin">
        <color rgb="FFB4C6E7"/>
      </top>
      <bottom/>
      <diagonal/>
    </border>
    <border>
      <left style="thin">
        <color rgb="FFB4C6E7"/>
      </left>
      <right style="thin">
        <color rgb="FFB4C6E7"/>
      </right>
      <top style="thin">
        <color rgb="FFB4C6E7"/>
      </top>
      <bottom style="thin">
        <color rgb="FFB4C6E7"/>
      </bottom>
      <diagonal/>
    </border>
    <border>
      <left/>
      <right/>
      <top/>
      <bottom style="thin">
        <color rgb="FFB4C6E7"/>
      </bottom>
      <diagonal/>
    </border>
    <border>
      <left/>
      <right/>
      <top/>
      <bottom style="thin">
        <color rgb="FFD9E2F3"/>
      </bottom>
      <diagonal/>
    </border>
    <border>
      <left/>
      <right/>
      <top style="medium">
        <color rgb="FF1F3864"/>
      </top>
      <bottom/>
      <diagonal/>
    </border>
    <border>
      <left/>
      <right/>
      <top style="thin">
        <color rgb="FFD9E2F3"/>
      </top>
      <bottom style="thin">
        <color rgb="FFD9E2F3"/>
      </bottom>
      <diagonal/>
    </border>
    <border>
      <left/>
      <right/>
      <top style="thin">
        <color rgb="FFD9E2F3"/>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3">
    <xf numFmtId="0" fontId="0" fillId="0" borderId="0" xfId="0"/>
    <xf numFmtId="0" fontId="1" fillId="2" borderId="0" xfId="0" applyFont="1" applyFill="1"/>
    <xf numFmtId="0" fontId="4" fillId="4" borderId="0" xfId="0" applyFont="1" applyFill="1" applyAlignment="1">
      <alignment horizontal="left" vertical="center"/>
    </xf>
    <xf numFmtId="0" fontId="8" fillId="2" borderId="0" xfId="0" applyFont="1" applyFill="1" applyAlignment="1">
      <alignment horizontal="center" vertical="center"/>
    </xf>
    <xf numFmtId="0" fontId="5" fillId="6" borderId="0" xfId="0" applyFont="1" applyFill="1" applyAlignment="1">
      <alignment horizontal="center" vertical="center"/>
    </xf>
    <xf numFmtId="0" fontId="5" fillId="0" borderId="0" xfId="0" applyFont="1" applyAlignment="1">
      <alignment horizontal="center" vertical="center"/>
    </xf>
    <xf numFmtId="0" fontId="7" fillId="3" borderId="5" xfId="0" applyFont="1" applyFill="1" applyBorder="1" applyAlignment="1">
      <alignment horizontal="center" vertical="center"/>
    </xf>
    <xf numFmtId="0" fontId="9" fillId="0" borderId="0" xfId="0" applyFont="1" applyAlignment="1">
      <alignment horizontal="center" vertical="center"/>
    </xf>
    <xf numFmtId="0" fontId="9" fillId="6" borderId="0" xfId="0" applyFont="1" applyFill="1" applyAlignment="1">
      <alignment horizontal="center" vertical="center"/>
    </xf>
    <xf numFmtId="0" fontId="9" fillId="6" borderId="7" xfId="0" applyFont="1" applyFill="1" applyBorder="1" applyAlignment="1">
      <alignment horizontal="center" vertical="center"/>
    </xf>
    <xf numFmtId="0" fontId="9" fillId="0" borderId="7" xfId="0" applyFont="1" applyBorder="1" applyAlignment="1">
      <alignment horizontal="center" vertical="center"/>
    </xf>
    <xf numFmtId="0" fontId="9" fillId="6" borderId="6" xfId="0" applyFont="1" applyFill="1" applyBorder="1" applyAlignment="1">
      <alignment horizontal="center" vertical="center"/>
    </xf>
    <xf numFmtId="0" fontId="10" fillId="0" borderId="0" xfId="0" applyFont="1"/>
    <xf numFmtId="0" fontId="11" fillId="0" borderId="0" xfId="0" applyFont="1"/>
    <xf numFmtId="0" fontId="7" fillId="0" borderId="0" xfId="0" applyFont="1"/>
    <xf numFmtId="0" fontId="7" fillId="0" borderId="4" xfId="0" applyFont="1" applyBorder="1"/>
    <xf numFmtId="0" fontId="7" fillId="6" borderId="0" xfId="0" applyFont="1" applyFill="1"/>
    <xf numFmtId="0" fontId="7" fillId="6" borderId="4" xfId="0" applyFont="1" applyFill="1" applyBorder="1"/>
    <xf numFmtId="0" fontId="12" fillId="0" borderId="0" xfId="0" applyFont="1"/>
    <xf numFmtId="0" fontId="13" fillId="0" borderId="0" xfId="0" applyFont="1"/>
    <xf numFmtId="0" fontId="8" fillId="2" borderId="0" xfId="0" applyFont="1" applyFill="1"/>
    <xf numFmtId="0" fontId="7" fillId="7" borderId="4" xfId="0" applyFont="1" applyFill="1" applyBorder="1"/>
    <xf numFmtId="0" fontId="5" fillId="6" borderId="0" xfId="0" applyFont="1" applyFill="1" applyAlignment="1">
      <alignment wrapText="1"/>
    </xf>
    <xf numFmtId="0" fontId="5" fillId="0" borderId="0" xfId="0" applyFont="1" applyAlignment="1">
      <alignment wrapText="1"/>
    </xf>
    <xf numFmtId="0" fontId="5" fillId="0" borderId="4" xfId="0" applyFont="1" applyBorder="1" applyAlignment="1">
      <alignment wrapText="1"/>
    </xf>
    <xf numFmtId="0" fontId="5" fillId="6" borderId="4" xfId="0" applyFont="1" applyFill="1" applyBorder="1" applyAlignment="1">
      <alignment wrapText="1"/>
    </xf>
    <xf numFmtId="0" fontId="1" fillId="2" borderId="0" xfId="0" applyFont="1" applyFill="1" applyAlignment="1">
      <alignment horizontal="center" vertical="center"/>
    </xf>
    <xf numFmtId="0" fontId="0" fillId="0" borderId="0" xfId="0" applyAlignment="1">
      <alignment horizontal="center"/>
    </xf>
    <xf numFmtId="0" fontId="2" fillId="3" borderId="0" xfId="0" applyFont="1" applyFill="1" applyAlignment="1">
      <alignment horizontal="center"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0" fillId="3" borderId="0" xfId="0" applyFill="1" applyAlignment="1">
      <alignment horizontal="center"/>
    </xf>
    <xf numFmtId="0" fontId="0" fillId="3" borderId="3" xfId="0" applyFill="1" applyBorder="1" applyAlignment="1">
      <alignment horizontal="center"/>
    </xf>
    <xf numFmtId="0" fontId="2" fillId="3" borderId="3" xfId="0" applyFont="1" applyFill="1" applyBorder="1" applyAlignment="1">
      <alignment horizontal="center" vertical="center"/>
    </xf>
    <xf numFmtId="14" fontId="3" fillId="3" borderId="2" xfId="0" applyNumberFormat="1" applyFont="1" applyFill="1" applyBorder="1" applyAlignment="1">
      <alignment horizontal="center" vertical="center"/>
    </xf>
    <xf numFmtId="0" fontId="4" fillId="4" borderId="0" xfId="0" applyFont="1" applyFill="1" applyAlignment="1">
      <alignment horizontal="center" vertical="center"/>
    </xf>
    <xf numFmtId="0" fontId="6" fillId="6" borderId="0" xfId="0" applyFont="1" applyFill="1" applyAlignment="1">
      <alignment horizontal="center" vertical="center"/>
    </xf>
    <xf numFmtId="0" fontId="6" fillId="5" borderId="0" xfId="0" applyFont="1" applyFill="1" applyAlignment="1">
      <alignment horizontal="center" vertical="center"/>
    </xf>
    <xf numFmtId="0" fontId="5" fillId="0" borderId="7" xfId="0" applyFont="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0" fontId="10" fillId="0" borderId="0" xfId="0" applyFont="1" applyAlignment="1">
      <alignment horizontal="center"/>
    </xf>
    <xf numFmtId="0" fontId="9" fillId="0" borderId="0" xfId="0" applyFont="1" applyAlignment="1">
      <alignment horizontal="center"/>
    </xf>
    <xf numFmtId="0" fontId="5" fillId="0" borderId="0" xfId="0" applyFont="1" applyAlignment="1">
      <alignment horizontal="center"/>
    </xf>
    <xf numFmtId="0" fontId="5" fillId="0" borderId="4" xfId="0" applyFont="1" applyBorder="1" applyAlignment="1">
      <alignment horizontal="center"/>
    </xf>
    <xf numFmtId="0" fontId="9" fillId="0" borderId="4" xfId="0" applyFont="1" applyBorder="1" applyAlignment="1">
      <alignment horizontal="center"/>
    </xf>
    <xf numFmtId="0" fontId="0" fillId="0" borderId="0" xfId="0" applyAlignment="1">
      <alignment horizontal="left"/>
    </xf>
    <xf numFmtId="0" fontId="15" fillId="6" borderId="0" xfId="0" applyFont="1" applyFill="1" applyAlignment="1">
      <alignment horizontal="center" vertical="center"/>
    </xf>
    <xf numFmtId="0" fontId="16" fillId="6" borderId="0" xfId="0" applyFont="1" applyFill="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5" fillId="6" borderId="8" xfId="0" applyFont="1" applyFill="1" applyBorder="1" applyAlignment="1">
      <alignment horizontal="center" vertical="center"/>
    </xf>
    <xf numFmtId="0" fontId="16" fillId="6" borderId="8" xfId="0" applyFont="1" applyFill="1" applyBorder="1" applyAlignment="1">
      <alignment horizontal="center" vertical="center"/>
    </xf>
    <xf numFmtId="164" fontId="17" fillId="6" borderId="8" xfId="0" applyNumberFormat="1" applyFont="1" applyFill="1" applyBorder="1" applyAlignment="1">
      <alignment horizontal="center" vertical="center"/>
    </xf>
    <xf numFmtId="0" fontId="18" fillId="8" borderId="8" xfId="0" applyFont="1" applyFill="1" applyBorder="1" applyAlignment="1">
      <alignment horizontal="center" vertical="center"/>
    </xf>
    <xf numFmtId="0" fontId="15" fillId="0" borderId="8" xfId="0" applyFont="1" applyBorder="1" applyAlignment="1">
      <alignment horizontal="center" vertical="center"/>
    </xf>
    <xf numFmtId="0" fontId="16" fillId="0" borderId="8" xfId="0" applyFont="1" applyBorder="1" applyAlignment="1">
      <alignment horizontal="center" vertical="center"/>
    </xf>
    <xf numFmtId="9" fontId="17" fillId="0" borderId="8" xfId="0" applyNumberFormat="1" applyFont="1" applyBorder="1" applyAlignment="1">
      <alignment horizontal="center" vertical="center"/>
    </xf>
    <xf numFmtId="0" fontId="18" fillId="9" borderId="8" xfId="0" applyFont="1" applyFill="1" applyBorder="1" applyAlignment="1">
      <alignment horizontal="center" vertical="center"/>
    </xf>
    <xf numFmtId="164" fontId="17" fillId="0" borderId="8" xfId="0" applyNumberFormat="1" applyFont="1" applyBorder="1" applyAlignment="1">
      <alignment horizontal="center" vertical="center"/>
    </xf>
    <xf numFmtId="9" fontId="17" fillId="6" borderId="8" xfId="0" applyNumberFormat="1" applyFont="1" applyFill="1" applyBorder="1" applyAlignment="1">
      <alignment horizontal="center" vertical="center"/>
    </xf>
    <xf numFmtId="0" fontId="17" fillId="6" borderId="8" xfId="0" applyFont="1" applyFill="1" applyBorder="1" applyAlignment="1">
      <alignment horizontal="center" vertical="center"/>
    </xf>
    <xf numFmtId="0" fontId="17" fillId="0" borderId="8" xfId="0" applyFont="1" applyBorder="1" applyAlignment="1">
      <alignment horizontal="center" vertical="center"/>
    </xf>
    <xf numFmtId="4" fontId="18" fillId="8" borderId="8" xfId="0" applyNumberFormat="1" applyFont="1" applyFill="1" applyBorder="1" applyAlignment="1">
      <alignment horizontal="center" vertical="center"/>
    </xf>
    <xf numFmtId="0" fontId="18" fillId="6" borderId="8" xfId="0" applyFont="1" applyFill="1" applyBorder="1" applyAlignment="1">
      <alignment horizontal="center" vertical="center"/>
    </xf>
    <xf numFmtId="0" fontId="18" fillId="0" borderId="8" xfId="0" applyFont="1" applyBorder="1" applyAlignment="1">
      <alignment horizontal="center" vertical="center"/>
    </xf>
    <xf numFmtId="3" fontId="18" fillId="0" borderId="8" xfId="0" applyNumberFormat="1" applyFont="1" applyBorder="1" applyAlignment="1">
      <alignment horizontal="center" vertical="center"/>
    </xf>
    <xf numFmtId="164" fontId="18" fillId="6" borderId="8" xfId="0" applyNumberFormat="1" applyFont="1" applyFill="1" applyBorder="1" applyAlignment="1">
      <alignment horizontal="center" vertical="center"/>
    </xf>
    <xf numFmtId="2" fontId="18" fillId="6" borderId="8" xfId="0" applyNumberFormat="1" applyFont="1" applyFill="1" applyBorder="1" applyAlignment="1">
      <alignment horizontal="center" vertical="center"/>
    </xf>
    <xf numFmtId="0" fontId="15" fillId="0" borderId="4" xfId="0" applyFont="1" applyBorder="1" applyAlignment="1">
      <alignment horizontal="center" vertical="center"/>
    </xf>
    <xf numFmtId="0" fontId="16" fillId="0" borderId="4" xfId="0" applyFont="1" applyBorder="1" applyAlignment="1">
      <alignment horizontal="center" vertical="center"/>
    </xf>
    <xf numFmtId="0" fontId="19" fillId="0" borderId="0" xfId="0" applyFont="1" applyAlignment="1">
      <alignment horizontal="center"/>
    </xf>
    <xf numFmtId="0" fontId="15" fillId="0" borderId="7" xfId="0" applyFont="1" applyBorder="1" applyAlignment="1">
      <alignment horizontal="center" vertical="center"/>
    </xf>
    <xf numFmtId="0" fontId="16" fillId="0" borderId="7" xfId="0" applyFont="1" applyBorder="1" applyAlignment="1">
      <alignment horizontal="center" vertical="center"/>
    </xf>
    <xf numFmtId="8" fontId="19" fillId="0" borderId="0" xfId="0" applyNumberFormat="1" applyFont="1" applyAlignment="1">
      <alignment horizontal="center"/>
    </xf>
    <xf numFmtId="0" fontId="15" fillId="6" borderId="7" xfId="0" applyFont="1" applyFill="1" applyBorder="1" applyAlignment="1">
      <alignment horizontal="center" vertical="center"/>
    </xf>
    <xf numFmtId="0" fontId="16" fillId="6" borderId="7" xfId="0" applyFont="1" applyFill="1" applyBorder="1" applyAlignment="1">
      <alignment horizontal="center" vertical="center"/>
    </xf>
    <xf numFmtId="14" fontId="16" fillId="6" borderId="7" xfId="0" applyNumberFormat="1" applyFont="1" applyFill="1" applyBorder="1" applyAlignment="1">
      <alignment horizontal="center" vertical="center"/>
    </xf>
    <xf numFmtId="0" fontId="15" fillId="0" borderId="6" xfId="0" applyFont="1" applyBorder="1" applyAlignment="1">
      <alignment horizontal="center" vertical="center"/>
    </xf>
    <xf numFmtId="0" fontId="16" fillId="0" borderId="6" xfId="0" applyFont="1" applyBorder="1" applyAlignment="1">
      <alignment horizontal="center" vertical="center"/>
    </xf>
    <xf numFmtId="0" fontId="9" fillId="0" borderId="0" xfId="0" applyFont="1" applyAlignment="1">
      <alignment horizontal="center" vertical="center" wrapText="1"/>
    </xf>
    <xf numFmtId="0" fontId="9" fillId="6" borderId="7" xfId="0" applyFont="1" applyFill="1" applyBorder="1" applyAlignment="1">
      <alignment horizontal="center" vertical="center" wrapText="1"/>
    </xf>
    <xf numFmtId="0" fontId="9" fillId="0" borderId="7" xfId="0" applyFont="1" applyBorder="1" applyAlignment="1">
      <alignment horizontal="center" vertical="center" wrapText="1"/>
    </xf>
    <xf numFmtId="0" fontId="9" fillId="6" borderId="6" xfId="0" applyFont="1" applyFill="1" applyBorder="1" applyAlignment="1">
      <alignment horizontal="center" vertical="center" wrapText="1"/>
    </xf>
    <xf numFmtId="0" fontId="0" fillId="0" borderId="0" xfId="0" applyAlignment="1">
      <alignment horizontal="center" wrapText="1"/>
    </xf>
    <xf numFmtId="14" fontId="9" fillId="6" borderId="7" xfId="0" applyNumberFormat="1" applyFont="1" applyFill="1" applyBorder="1" applyAlignment="1">
      <alignment horizontal="center" vertical="center"/>
    </xf>
    <xf numFmtId="14" fontId="16" fillId="0" borderId="6" xfId="0" applyNumberFormat="1" applyFont="1" applyBorder="1" applyAlignment="1">
      <alignment horizontal="center" vertical="center"/>
    </xf>
    <xf numFmtId="14" fontId="3" fillId="3" borderId="1" xfId="0" applyNumberFormat="1" applyFont="1" applyFill="1" applyBorder="1" applyAlignment="1">
      <alignment horizontal="center" vertical="center"/>
    </xf>
    <xf numFmtId="164" fontId="18" fillId="0" borderId="8" xfId="0" applyNumberFormat="1" applyFont="1" applyBorder="1" applyAlignment="1">
      <alignment horizontal="center" vertical="center"/>
    </xf>
    <xf numFmtId="2" fontId="18" fillId="0" borderId="8" xfId="0" applyNumberFormat="1" applyFont="1" applyBorder="1" applyAlignment="1">
      <alignment horizontal="center" vertical="center"/>
    </xf>
    <xf numFmtId="4" fontId="18" fillId="0" borderId="8" xfId="0" applyNumberFormat="1" applyFont="1" applyBorder="1" applyAlignment="1">
      <alignment horizontal="center" vertical="center"/>
    </xf>
    <xf numFmtId="9" fontId="18" fillId="0" borderId="8" xfId="0" applyNumberFormat="1" applyFont="1" applyBorder="1" applyAlignment="1">
      <alignment horizontal="center" vertical="center"/>
    </xf>
    <xf numFmtId="0" fontId="22" fillId="0" borderId="4" xfId="0" applyFont="1" applyBorder="1" applyAlignment="1">
      <alignment horizontal="center" vertical="center"/>
    </xf>
  </cellXfs>
  <cellStyles count="1">
    <cellStyle name="Normal" xfId="0" builtinId="0"/>
  </cellStyles>
  <dxfs count="21">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5700"/>
      </font>
      <fill>
        <patternFill patternType="solid">
          <fgColor indexed="64"/>
          <bgColor rgb="FFFFE6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5700"/>
      </font>
      <fill>
        <patternFill patternType="solid">
          <fgColor indexed="64"/>
          <bgColor rgb="FFFFE6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5700"/>
      </font>
      <fill>
        <patternFill patternType="solid">
          <fgColor indexed="64"/>
          <bgColor rgb="FFFFE699"/>
        </patternFill>
      </fill>
    </dxf>
    <dxf>
      <font>
        <color rgb="FF9C0006"/>
      </font>
      <fill>
        <patternFill patternType="solid">
          <fgColor indexed="64"/>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84"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B794F8C-948D-4731-B7F7-5D9E9812B829}">
  <we:reference id="wa200009152" version="1.0.0.4" store="en-US" storeType="OMEX"/>
  <we:alternateReferences>
    <we:reference id="WA200009152" version="1.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23B6C-DF44-4D68-A813-B3666AD315F8}">
  <dimension ref="B2:F62"/>
  <sheetViews>
    <sheetView showGridLines="0" topLeftCell="A40" workbookViewId="0">
      <selection activeCell="F41" sqref="F41"/>
    </sheetView>
  </sheetViews>
  <sheetFormatPr defaultRowHeight="15"/>
  <cols>
    <col min="1" max="1" width="1.42578125" customWidth="1"/>
    <col min="2" max="2" width="29.7109375" customWidth="1"/>
    <col min="3" max="3" width="64.7109375" customWidth="1"/>
    <col min="4" max="4" width="31.42578125" customWidth="1"/>
    <col min="5" max="6" width="14.7109375" customWidth="1"/>
  </cols>
  <sheetData>
    <row r="2" spans="2:6" ht="30" customHeight="1">
      <c r="B2" s="1" t="s">
        <v>0</v>
      </c>
      <c r="C2" s="1"/>
      <c r="D2" s="1"/>
      <c r="E2" s="1"/>
      <c r="F2" s="1"/>
    </row>
    <row r="4" spans="2:6" ht="22.15" customHeight="1">
      <c r="B4" s="2" t="s">
        <v>1</v>
      </c>
      <c r="C4" s="2"/>
      <c r="D4" s="2"/>
      <c r="E4" s="2"/>
      <c r="F4" s="2"/>
    </row>
    <row r="5" spans="2:6">
      <c r="B5" s="3" t="s">
        <v>2</v>
      </c>
      <c r="C5" s="3" t="s">
        <v>3</v>
      </c>
    </row>
    <row r="6" spans="2:6">
      <c r="B6" s="16" t="s">
        <v>4</v>
      </c>
      <c r="C6" s="22" t="s">
        <v>5</v>
      </c>
    </row>
    <row r="7" spans="2:6">
      <c r="B7" s="14" t="s">
        <v>6</v>
      </c>
      <c r="C7" s="23" t="s">
        <v>7</v>
      </c>
    </row>
    <row r="8" spans="2:6">
      <c r="B8" s="16" t="s">
        <v>8</v>
      </c>
      <c r="C8" s="22" t="s">
        <v>9</v>
      </c>
    </row>
    <row r="9" spans="2:6">
      <c r="B9" s="14" t="s">
        <v>10</v>
      </c>
      <c r="C9" s="23" t="s">
        <v>11</v>
      </c>
    </row>
    <row r="10" spans="2:6">
      <c r="B10" s="16" t="s">
        <v>12</v>
      </c>
      <c r="C10" s="22" t="s">
        <v>13</v>
      </c>
    </row>
    <row r="11" spans="2:6">
      <c r="B11" s="14" t="s">
        <v>14</v>
      </c>
      <c r="C11" s="23" t="s">
        <v>15</v>
      </c>
    </row>
    <row r="12" spans="2:6">
      <c r="B12" s="16" t="s">
        <v>16</v>
      </c>
      <c r="C12" s="22" t="s">
        <v>17</v>
      </c>
    </row>
    <row r="13" spans="2:6">
      <c r="B13" s="14" t="s">
        <v>18</v>
      </c>
      <c r="C13" s="23" t="s">
        <v>19</v>
      </c>
    </row>
    <row r="14" spans="2:6">
      <c r="B14" s="16" t="s">
        <v>20</v>
      </c>
      <c r="C14" s="22" t="s">
        <v>21</v>
      </c>
    </row>
    <row r="15" spans="2:6">
      <c r="B15" s="15" t="s">
        <v>22</v>
      </c>
      <c r="C15" s="24" t="s">
        <v>23</v>
      </c>
    </row>
    <row r="17" spans="2:6" ht="22.15" customHeight="1">
      <c r="B17" s="2" t="s">
        <v>24</v>
      </c>
      <c r="C17" s="2"/>
      <c r="D17" s="2"/>
      <c r="E17" s="2"/>
      <c r="F17" s="2"/>
    </row>
    <row r="18" spans="2:6">
      <c r="B18" s="3" t="s">
        <v>25</v>
      </c>
      <c r="C18" s="3" t="s">
        <v>26</v>
      </c>
    </row>
    <row r="19" spans="2:6">
      <c r="B19" s="16" t="s">
        <v>27</v>
      </c>
      <c r="C19" s="22" t="s">
        <v>28</v>
      </c>
    </row>
    <row r="20" spans="2:6">
      <c r="B20" s="14" t="s">
        <v>27</v>
      </c>
      <c r="C20" s="23" t="s">
        <v>29</v>
      </c>
    </row>
    <row r="21" spans="2:6">
      <c r="B21" s="16" t="s">
        <v>27</v>
      </c>
      <c r="C21" s="22" t="s">
        <v>30</v>
      </c>
    </row>
    <row r="22" spans="2:6">
      <c r="B22" s="14" t="s">
        <v>27</v>
      </c>
      <c r="C22" s="23" t="s">
        <v>31</v>
      </c>
    </row>
    <row r="23" spans="2:6">
      <c r="B23" s="16" t="s">
        <v>32</v>
      </c>
      <c r="C23" s="22" t="s">
        <v>33</v>
      </c>
    </row>
    <row r="24" spans="2:6">
      <c r="B24" s="14" t="s">
        <v>32</v>
      </c>
      <c r="C24" s="23" t="s">
        <v>34</v>
      </c>
    </row>
    <row r="25" spans="2:6">
      <c r="B25" s="16" t="s">
        <v>32</v>
      </c>
      <c r="C25" s="22" t="s">
        <v>35</v>
      </c>
    </row>
    <row r="26" spans="2:6">
      <c r="B26" s="14" t="s">
        <v>32</v>
      </c>
      <c r="C26" s="23" t="s">
        <v>36</v>
      </c>
    </row>
    <row r="27" spans="2:6">
      <c r="B27" s="16" t="s">
        <v>37</v>
      </c>
      <c r="C27" s="22" t="s">
        <v>38</v>
      </c>
    </row>
    <row r="28" spans="2:6">
      <c r="B28" s="14" t="s">
        <v>37</v>
      </c>
      <c r="C28" s="23" t="s">
        <v>39</v>
      </c>
    </row>
    <row r="29" spans="2:6">
      <c r="B29" s="17" t="s">
        <v>37</v>
      </c>
      <c r="C29" s="25" t="s">
        <v>40</v>
      </c>
    </row>
    <row r="31" spans="2:6" ht="22.15" customHeight="1">
      <c r="B31" s="2" t="s">
        <v>41</v>
      </c>
      <c r="C31" s="2"/>
      <c r="D31" s="2"/>
      <c r="E31" s="2"/>
      <c r="F31" s="2"/>
    </row>
    <row r="32" spans="2:6">
      <c r="B32" s="3" t="s">
        <v>42</v>
      </c>
      <c r="C32" s="3" t="s">
        <v>43</v>
      </c>
      <c r="D32" s="3" t="s">
        <v>44</v>
      </c>
      <c r="E32" s="3" t="s">
        <v>45</v>
      </c>
      <c r="F32" s="3" t="s">
        <v>46</v>
      </c>
    </row>
    <row r="33" spans="2:6">
      <c r="B33" s="16" t="s">
        <v>47</v>
      </c>
      <c r="C33" s="22" t="s">
        <v>48</v>
      </c>
      <c r="D33" s="22" t="s">
        <v>49</v>
      </c>
      <c r="E33" s="22" t="s">
        <v>50</v>
      </c>
      <c r="F33" s="22"/>
    </row>
    <row r="34" spans="2:6">
      <c r="B34" s="14" t="s">
        <v>51</v>
      </c>
      <c r="C34" s="23" t="s">
        <v>52</v>
      </c>
      <c r="D34" s="23" t="s">
        <v>53</v>
      </c>
      <c r="E34" s="23" t="s">
        <v>50</v>
      </c>
      <c r="F34" s="23"/>
    </row>
    <row r="35" spans="2:6">
      <c r="B35" s="16" t="s">
        <v>54</v>
      </c>
      <c r="C35" s="22" t="s">
        <v>55</v>
      </c>
      <c r="D35" s="22" t="s">
        <v>56</v>
      </c>
      <c r="E35" s="22" t="s">
        <v>57</v>
      </c>
      <c r="F35" s="22"/>
    </row>
    <row r="36" spans="2:6">
      <c r="B36" s="14" t="s">
        <v>58</v>
      </c>
      <c r="C36" s="23" t="s">
        <v>59</v>
      </c>
      <c r="D36" s="23" t="s">
        <v>60</v>
      </c>
      <c r="E36" s="23" t="s">
        <v>50</v>
      </c>
      <c r="F36" s="23"/>
    </row>
    <row r="37" spans="2:6">
      <c r="B37" s="16" t="s">
        <v>61</v>
      </c>
      <c r="C37" s="22" t="s">
        <v>62</v>
      </c>
      <c r="D37" s="22" t="s">
        <v>63</v>
      </c>
      <c r="E37" s="22" t="s">
        <v>50</v>
      </c>
      <c r="F37" s="22"/>
    </row>
    <row r="38" spans="2:6">
      <c r="B38" s="14" t="s">
        <v>64</v>
      </c>
      <c r="C38" s="23" t="s">
        <v>65</v>
      </c>
      <c r="D38" s="23" t="s">
        <v>66</v>
      </c>
      <c r="E38" s="23" t="s">
        <v>50</v>
      </c>
      <c r="F38" s="23"/>
    </row>
    <row r="39" spans="2:6">
      <c r="B39" s="16" t="s">
        <v>67</v>
      </c>
      <c r="C39" s="22" t="s">
        <v>68</v>
      </c>
      <c r="D39" s="22" t="s">
        <v>69</v>
      </c>
      <c r="E39" s="22" t="s">
        <v>57</v>
      </c>
      <c r="F39" s="22"/>
    </row>
    <row r="40" spans="2:6">
      <c r="B40" s="14" t="s">
        <v>70</v>
      </c>
      <c r="C40" s="23" t="s">
        <v>71</v>
      </c>
      <c r="D40" s="23" t="s">
        <v>72</v>
      </c>
      <c r="E40" s="23" t="s">
        <v>50</v>
      </c>
      <c r="F40" s="23"/>
    </row>
    <row r="41" spans="2:6">
      <c r="B41" s="16" t="s">
        <v>73</v>
      </c>
      <c r="C41" s="22" t="s">
        <v>74</v>
      </c>
      <c r="D41" s="22" t="s">
        <v>75</v>
      </c>
      <c r="E41" s="22" t="s">
        <v>50</v>
      </c>
      <c r="F41" s="22"/>
    </row>
    <row r="42" spans="2:6">
      <c r="B42" s="14" t="s">
        <v>76</v>
      </c>
      <c r="C42" s="23" t="s">
        <v>77</v>
      </c>
      <c r="D42" s="23" t="s">
        <v>78</v>
      </c>
      <c r="E42" s="23" t="s">
        <v>57</v>
      </c>
      <c r="F42" s="23"/>
    </row>
    <row r="43" spans="2:6">
      <c r="B43" s="16" t="s">
        <v>79</v>
      </c>
      <c r="C43" s="22" t="s">
        <v>80</v>
      </c>
      <c r="D43" s="22" t="s">
        <v>81</v>
      </c>
      <c r="E43" s="22" t="s">
        <v>57</v>
      </c>
      <c r="F43" s="22"/>
    </row>
    <row r="44" spans="2:6">
      <c r="B44" s="15" t="s">
        <v>82</v>
      </c>
      <c r="C44" s="24" t="s">
        <v>83</v>
      </c>
      <c r="D44" s="24" t="s">
        <v>84</v>
      </c>
      <c r="E44" s="24" t="s">
        <v>50</v>
      </c>
      <c r="F44" s="24"/>
    </row>
    <row r="46" spans="2:6" ht="22.15" customHeight="1">
      <c r="B46" s="2" t="s">
        <v>85</v>
      </c>
      <c r="C46" s="2"/>
      <c r="D46" s="2"/>
      <c r="E46" s="2"/>
      <c r="F46" s="2"/>
    </row>
    <row r="47" spans="2:6">
      <c r="B47" s="3" t="s">
        <v>86</v>
      </c>
      <c r="C47" s="3" t="s">
        <v>87</v>
      </c>
    </row>
    <row r="48" spans="2:6">
      <c r="B48" s="16" t="s">
        <v>88</v>
      </c>
      <c r="C48" s="22" t="s">
        <v>89</v>
      </c>
    </row>
    <row r="49" spans="2:6">
      <c r="B49" s="14" t="s">
        <v>90</v>
      </c>
      <c r="C49" s="23" t="s">
        <v>91</v>
      </c>
    </row>
    <row r="50" spans="2:6">
      <c r="B50" s="16" t="s">
        <v>92</v>
      </c>
      <c r="C50" s="22" t="s">
        <v>93</v>
      </c>
    </row>
    <row r="51" spans="2:6">
      <c r="B51" s="14" t="s">
        <v>94</v>
      </c>
      <c r="C51" s="23" t="s">
        <v>95</v>
      </c>
    </row>
    <row r="52" spans="2:6">
      <c r="B52" s="17" t="s">
        <v>94</v>
      </c>
      <c r="C52" s="25" t="s">
        <v>96</v>
      </c>
    </row>
    <row r="54" spans="2:6" ht="22.15" customHeight="1">
      <c r="B54" s="2" t="s">
        <v>97</v>
      </c>
      <c r="C54" s="2"/>
      <c r="D54" s="2"/>
      <c r="E54" s="2"/>
      <c r="F54" s="2"/>
    </row>
    <row r="55" spans="2:6">
      <c r="B55" s="3" t="s">
        <v>98</v>
      </c>
      <c r="C55" s="3" t="s">
        <v>99</v>
      </c>
    </row>
    <row r="56" spans="2:6">
      <c r="B56" s="13" t="s">
        <v>100</v>
      </c>
      <c r="C56" s="23" t="s">
        <v>101</v>
      </c>
    </row>
    <row r="57" spans="2:6">
      <c r="B57" s="12" t="s">
        <v>102</v>
      </c>
      <c r="C57" s="23" t="s">
        <v>103</v>
      </c>
    </row>
    <row r="58" spans="2:6">
      <c r="B58" s="18" t="s">
        <v>104</v>
      </c>
      <c r="C58" s="23" t="s">
        <v>105</v>
      </c>
    </row>
    <row r="59" spans="2:6">
      <c r="B59" s="19" t="s">
        <v>106</v>
      </c>
      <c r="C59" s="23" t="s">
        <v>107</v>
      </c>
    </row>
    <row r="60" spans="2:6">
      <c r="B60" s="20" t="s">
        <v>108</v>
      </c>
      <c r="C60" s="23" t="s">
        <v>109</v>
      </c>
    </row>
    <row r="61" spans="2:6">
      <c r="B61" s="16" t="s">
        <v>110</v>
      </c>
      <c r="C61" s="23" t="s">
        <v>111</v>
      </c>
    </row>
    <row r="62" spans="2:6">
      <c r="B62" s="21" t="s">
        <v>112</v>
      </c>
      <c r="C62" s="24" t="s">
        <v>113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E98EB-D9FB-4296-8DA2-58EE50A92CF4}">
  <dimension ref="B2:L91"/>
  <sheetViews>
    <sheetView showGridLines="0" topLeftCell="A55" workbookViewId="0">
      <selection activeCell="C83" sqref="C83"/>
    </sheetView>
  </sheetViews>
  <sheetFormatPr defaultColWidth="8.85546875" defaultRowHeight="15"/>
  <cols>
    <col min="1" max="1" width="1.42578125" style="27" customWidth="1"/>
    <col min="2" max="2" width="67.42578125" style="27" customWidth="1"/>
    <col min="3" max="3" width="38" style="27" customWidth="1"/>
    <col min="4" max="4" width="10.28515625" style="27" customWidth="1"/>
    <col min="5" max="5" width="13.85546875" style="27" customWidth="1"/>
    <col min="6" max="6" width="26" style="27" customWidth="1"/>
    <col min="7" max="7" width="65.140625" style="27" customWidth="1"/>
    <col min="8" max="11" width="10.28515625" style="27" customWidth="1"/>
    <col min="12" max="16384" width="8.85546875" style="27"/>
  </cols>
  <sheetData>
    <row r="2" spans="2:11" ht="30" customHeight="1">
      <c r="B2" s="26" t="s">
        <v>114</v>
      </c>
      <c r="C2" s="26"/>
      <c r="D2" s="26"/>
      <c r="E2" s="26"/>
      <c r="F2" s="26"/>
      <c r="G2" s="26"/>
      <c r="H2" s="26"/>
      <c r="I2" s="26"/>
      <c r="J2" s="26"/>
      <c r="K2" s="26"/>
    </row>
    <row r="3" spans="2:11">
      <c r="B3" s="28" t="s">
        <v>115</v>
      </c>
      <c r="C3" s="29"/>
      <c r="D3" s="28" t="s">
        <v>116</v>
      </c>
      <c r="E3" s="29"/>
      <c r="F3" s="29"/>
      <c r="G3" s="28" t="s">
        <v>117</v>
      </c>
      <c r="H3" s="29"/>
      <c r="I3" s="29"/>
      <c r="J3" s="29"/>
      <c r="K3" s="29"/>
    </row>
    <row r="4" spans="2:11">
      <c r="B4" s="28" t="s">
        <v>118</v>
      </c>
      <c r="C4" s="29" t="s">
        <v>119</v>
      </c>
      <c r="D4" s="28" t="s">
        <v>120</v>
      </c>
      <c r="E4" s="29"/>
      <c r="F4" s="29"/>
      <c r="G4" s="28" t="s">
        <v>121</v>
      </c>
      <c r="H4" s="29"/>
      <c r="I4" s="29"/>
      <c r="J4" s="29"/>
      <c r="K4" s="29"/>
    </row>
    <row r="5" spans="2:11">
      <c r="B5" s="28" t="s">
        <v>122</v>
      </c>
      <c r="C5" s="30"/>
      <c r="D5" s="30"/>
      <c r="E5" s="30"/>
      <c r="F5" s="30"/>
      <c r="G5" s="30"/>
      <c r="H5" s="30"/>
      <c r="I5" s="30"/>
      <c r="J5" s="30"/>
      <c r="K5" s="29"/>
    </row>
    <row r="6" spans="2:11">
      <c r="B6" s="31"/>
      <c r="C6" s="31"/>
      <c r="D6" s="31"/>
      <c r="E6" s="31"/>
      <c r="F6" s="31"/>
      <c r="G6" s="31"/>
      <c r="H6" s="31"/>
      <c r="I6" s="31"/>
      <c r="J6" s="28" t="s">
        <v>123</v>
      </c>
      <c r="K6" s="29" t="s">
        <v>124</v>
      </c>
    </row>
    <row r="7" spans="2:11">
      <c r="B7" s="32"/>
      <c r="C7" s="32"/>
      <c r="D7" s="32"/>
      <c r="E7" s="32"/>
      <c r="F7" s="32"/>
      <c r="G7" s="32"/>
      <c r="H7" s="32"/>
      <c r="I7" s="32"/>
      <c r="J7" s="33" t="s">
        <v>125</v>
      </c>
      <c r="K7" s="34"/>
    </row>
    <row r="9" spans="2:11" ht="22.15" customHeight="1">
      <c r="B9" s="35" t="s">
        <v>126</v>
      </c>
      <c r="C9" s="35"/>
      <c r="D9" s="35"/>
      <c r="E9" s="35"/>
      <c r="F9" s="35"/>
      <c r="G9" s="35"/>
      <c r="H9" s="35"/>
      <c r="I9" s="35"/>
      <c r="J9" s="35"/>
      <c r="K9" s="35"/>
    </row>
    <row r="10" spans="2:11">
      <c r="B10" s="36" t="s">
        <v>127</v>
      </c>
      <c r="C10" s="36"/>
      <c r="D10" s="36"/>
      <c r="E10" s="36"/>
      <c r="F10" s="36"/>
      <c r="G10" s="36"/>
      <c r="H10" s="36"/>
      <c r="I10" s="36"/>
      <c r="J10" s="36"/>
      <c r="K10" s="36"/>
    </row>
    <row r="11" spans="2:11">
      <c r="B11" s="37" t="s">
        <v>128</v>
      </c>
      <c r="C11" s="37"/>
      <c r="D11" s="37"/>
      <c r="E11" s="37"/>
      <c r="F11" s="37"/>
      <c r="G11" s="37"/>
      <c r="H11" s="37"/>
      <c r="I11" s="37"/>
      <c r="J11" s="37"/>
      <c r="K11" s="37"/>
    </row>
    <row r="12" spans="2:11">
      <c r="B12" s="36" t="s">
        <v>129</v>
      </c>
      <c r="C12" s="36"/>
      <c r="D12" s="36"/>
      <c r="E12" s="36"/>
      <c r="F12" s="36"/>
      <c r="G12" s="36"/>
      <c r="H12" s="36"/>
      <c r="I12" s="36"/>
      <c r="J12" s="36"/>
      <c r="K12" s="36"/>
    </row>
    <row r="13" spans="2:11">
      <c r="B13" s="37" t="s">
        <v>130</v>
      </c>
      <c r="C13" s="37"/>
      <c r="D13" s="37"/>
      <c r="E13" s="37"/>
      <c r="F13" s="37"/>
      <c r="G13" s="37"/>
      <c r="H13" s="37"/>
      <c r="I13" s="37"/>
      <c r="J13" s="37"/>
      <c r="K13" s="37"/>
    </row>
    <row r="14" spans="2:11">
      <c r="B14" s="36" t="s">
        <v>131</v>
      </c>
      <c r="C14" s="36"/>
      <c r="D14" s="36"/>
      <c r="E14" s="36"/>
      <c r="F14" s="36"/>
      <c r="G14" s="36"/>
      <c r="H14" s="36"/>
      <c r="I14" s="36"/>
      <c r="J14" s="36"/>
      <c r="K14" s="36"/>
    </row>
    <row r="15" spans="2:11">
      <c r="B15" s="37" t="s">
        <v>132</v>
      </c>
      <c r="C15" s="37"/>
      <c r="D15" s="37"/>
      <c r="E15" s="37"/>
      <c r="F15" s="37"/>
      <c r="G15" s="37"/>
      <c r="H15" s="37"/>
      <c r="I15" s="37"/>
      <c r="J15" s="37"/>
      <c r="K15" s="37"/>
    </row>
    <row r="17" spans="2:11" ht="22.15" customHeight="1">
      <c r="B17" s="35" t="s">
        <v>133</v>
      </c>
      <c r="C17" s="35"/>
      <c r="D17" s="35"/>
      <c r="E17" s="35"/>
      <c r="F17" s="35"/>
      <c r="G17" s="35"/>
      <c r="H17" s="35"/>
      <c r="I17" s="35"/>
      <c r="J17" s="35"/>
      <c r="K17" s="35"/>
    </row>
    <row r="18" spans="2:11" ht="19.899999999999999" customHeight="1">
      <c r="B18" s="3" t="s">
        <v>134</v>
      </c>
      <c r="C18" s="3" t="s">
        <v>135</v>
      </c>
      <c r="D18" s="3" t="s">
        <v>136</v>
      </c>
      <c r="E18" s="3" t="s">
        <v>137</v>
      </c>
      <c r="F18" s="3" t="s">
        <v>138</v>
      </c>
      <c r="G18" s="3" t="s">
        <v>139</v>
      </c>
    </row>
    <row r="19" spans="2:11">
      <c r="B19" s="4">
        <v>1</v>
      </c>
      <c r="C19" s="4" t="s">
        <v>140</v>
      </c>
      <c r="D19" s="4">
        <v>45</v>
      </c>
      <c r="E19" s="8"/>
      <c r="F19" s="8"/>
      <c r="G19" s="8"/>
    </row>
    <row r="20" spans="2:11">
      <c r="B20" s="5">
        <v>2</v>
      </c>
      <c r="C20" s="5" t="s">
        <v>141</v>
      </c>
      <c r="D20" s="5">
        <v>5</v>
      </c>
      <c r="E20" s="7"/>
      <c r="F20" s="7"/>
      <c r="G20" s="7"/>
    </row>
    <row r="21" spans="2:11">
      <c r="B21" s="4">
        <v>3</v>
      </c>
      <c r="C21" s="4" t="s">
        <v>142</v>
      </c>
      <c r="D21" s="4">
        <v>5</v>
      </c>
      <c r="E21" s="8"/>
      <c r="F21" s="8"/>
      <c r="G21" s="8"/>
    </row>
    <row r="22" spans="2:11">
      <c r="B22" s="4">
        <v>5</v>
      </c>
      <c r="C22" s="4" t="s">
        <v>143</v>
      </c>
      <c r="D22" s="4">
        <v>15</v>
      </c>
      <c r="E22" s="8"/>
      <c r="F22" s="8"/>
      <c r="G22" s="8"/>
    </row>
    <row r="23" spans="2:11">
      <c r="B23" s="5">
        <v>6</v>
      </c>
      <c r="C23" s="5" t="s">
        <v>144</v>
      </c>
      <c r="D23" s="5">
        <v>45</v>
      </c>
      <c r="E23" s="7"/>
      <c r="F23" s="7"/>
      <c r="G23" s="7"/>
    </row>
    <row r="24" spans="2:11" ht="15.75" thickBot="1">
      <c r="B24" s="4">
        <v>7</v>
      </c>
      <c r="C24" s="4" t="s">
        <v>145</v>
      </c>
      <c r="D24" s="4">
        <v>5</v>
      </c>
      <c r="E24" s="8"/>
      <c r="F24" s="8"/>
      <c r="G24" s="8"/>
    </row>
    <row r="25" spans="2:11">
      <c r="B25" s="6"/>
      <c r="C25" s="6" t="s">
        <v>146</v>
      </c>
      <c r="D25" s="6">
        <f>SUM(D19:D24)</f>
        <v>120</v>
      </c>
      <c r="E25" s="6"/>
      <c r="F25" s="6"/>
      <c r="G25" s="6"/>
    </row>
    <row r="27" spans="2:11" ht="22.15" customHeight="1">
      <c r="B27" s="35" t="s">
        <v>147</v>
      </c>
      <c r="C27" s="35"/>
      <c r="D27" s="35"/>
      <c r="E27" s="35"/>
      <c r="F27" s="35"/>
      <c r="G27" s="35"/>
      <c r="H27" s="35"/>
      <c r="I27" s="35"/>
      <c r="J27" s="35"/>
      <c r="K27" s="35"/>
    </row>
    <row r="28" spans="2:11" ht="19.899999999999999" customHeight="1">
      <c r="B28" s="3" t="s">
        <v>42</v>
      </c>
      <c r="C28" s="3" t="s">
        <v>46</v>
      </c>
      <c r="D28" s="3" t="s">
        <v>148</v>
      </c>
      <c r="E28" s="3" t="s">
        <v>149</v>
      </c>
      <c r="F28" s="3" t="s">
        <v>150</v>
      </c>
      <c r="G28" s="3" t="s">
        <v>151</v>
      </c>
      <c r="H28" s="3" t="s">
        <v>152</v>
      </c>
      <c r="I28" s="3" t="s">
        <v>153</v>
      </c>
      <c r="J28" s="3" t="s">
        <v>154</v>
      </c>
      <c r="K28" s="3" t="s">
        <v>155</v>
      </c>
    </row>
    <row r="29" spans="2:11" ht="15.75">
      <c r="B29" s="51" t="s">
        <v>47</v>
      </c>
      <c r="C29" s="52" t="s">
        <v>156</v>
      </c>
      <c r="D29" s="51" t="s">
        <v>157</v>
      </c>
      <c r="E29" s="53">
        <v>250000</v>
      </c>
      <c r="F29" s="54">
        <v>229289.15</v>
      </c>
      <c r="G29" s="67">
        <f>F29-E29</f>
        <v>-20710.850000000006</v>
      </c>
      <c r="H29" s="64"/>
      <c r="I29" s="64"/>
      <c r="J29" s="64"/>
      <c r="K29" s="64"/>
    </row>
    <row r="30" spans="2:11" ht="15.75">
      <c r="B30" s="55" t="s">
        <v>51</v>
      </c>
      <c r="C30" s="56" t="s">
        <v>156</v>
      </c>
      <c r="D30" s="55" t="s">
        <v>157</v>
      </c>
      <c r="E30" s="57">
        <v>0.5</v>
      </c>
      <c r="F30" s="58">
        <v>59.68</v>
      </c>
      <c r="G30" s="68">
        <v>9.18</v>
      </c>
      <c r="H30" s="65"/>
      <c r="I30" s="65"/>
      <c r="J30" s="65"/>
      <c r="K30" s="65"/>
    </row>
    <row r="31" spans="2:11" ht="15.75">
      <c r="B31" s="55" t="s">
        <v>47</v>
      </c>
      <c r="C31" s="56" t="s">
        <v>158</v>
      </c>
      <c r="D31" s="55" t="s">
        <v>159</v>
      </c>
      <c r="E31" s="59">
        <v>100000</v>
      </c>
      <c r="F31" s="54">
        <v>69115</v>
      </c>
      <c r="G31" s="67">
        <f>F31-E31</f>
        <v>-30885</v>
      </c>
      <c r="H31" s="65"/>
      <c r="I31" s="65"/>
      <c r="J31" s="65"/>
      <c r="K31" s="66"/>
    </row>
    <row r="32" spans="2:11" ht="15.75">
      <c r="B32" s="51" t="s">
        <v>51</v>
      </c>
      <c r="C32" s="52" t="s">
        <v>158</v>
      </c>
      <c r="D32" s="51" t="s">
        <v>159</v>
      </c>
      <c r="E32" s="60">
        <v>0.3</v>
      </c>
      <c r="F32" s="54">
        <v>27.76</v>
      </c>
      <c r="G32" s="64">
        <v>2.34</v>
      </c>
      <c r="H32" s="64"/>
      <c r="I32" s="64"/>
      <c r="J32" s="64"/>
      <c r="K32" s="64"/>
    </row>
    <row r="33" spans="2:12" ht="15.75">
      <c r="B33" s="51" t="s">
        <v>47</v>
      </c>
      <c r="C33" s="52" t="s">
        <v>160</v>
      </c>
      <c r="D33" s="51" t="s">
        <v>161</v>
      </c>
      <c r="E33" s="53">
        <v>312000</v>
      </c>
      <c r="F33" s="65"/>
      <c r="G33" s="67">
        <f>F33-E33</f>
        <v>-312000</v>
      </c>
      <c r="H33" s="64"/>
      <c r="I33" s="64"/>
      <c r="J33" s="64"/>
      <c r="K33" s="64"/>
    </row>
    <row r="34" spans="2:12" ht="15.75">
      <c r="B34" s="55" t="s">
        <v>51</v>
      </c>
      <c r="C34" s="56" t="s">
        <v>160</v>
      </c>
      <c r="D34" s="55" t="s">
        <v>161</v>
      </c>
      <c r="E34" s="57">
        <v>0.15</v>
      </c>
      <c r="F34" s="65"/>
      <c r="G34" s="67"/>
      <c r="H34" s="65"/>
      <c r="I34" s="65"/>
      <c r="J34" s="65"/>
      <c r="K34" s="65"/>
    </row>
    <row r="35" spans="2:12" ht="15.75">
      <c r="B35" s="51" t="s">
        <v>162</v>
      </c>
      <c r="C35" s="56" t="s">
        <v>163</v>
      </c>
      <c r="D35" s="51" t="s">
        <v>164</v>
      </c>
      <c r="E35" s="61" t="s">
        <v>165</v>
      </c>
      <c r="F35" s="58">
        <v>33</v>
      </c>
      <c r="G35" s="64">
        <v>-12</v>
      </c>
      <c r="H35" s="64"/>
      <c r="I35" s="64"/>
      <c r="J35" s="64"/>
      <c r="K35" s="64"/>
    </row>
    <row r="36" spans="2:12" ht="15.75">
      <c r="B36" s="55" t="s">
        <v>166</v>
      </c>
      <c r="C36" s="56" t="s">
        <v>163</v>
      </c>
      <c r="D36" s="55" t="s">
        <v>164</v>
      </c>
      <c r="E36" s="62" t="s">
        <v>167</v>
      </c>
      <c r="F36" s="58">
        <v>37</v>
      </c>
      <c r="G36" s="64">
        <v>7</v>
      </c>
      <c r="H36" s="65"/>
      <c r="I36" s="65"/>
      <c r="J36" s="65"/>
      <c r="K36" s="65"/>
    </row>
    <row r="37" spans="2:12" ht="15.75">
      <c r="B37" s="51" t="s">
        <v>168</v>
      </c>
      <c r="C37" s="52" t="s">
        <v>169</v>
      </c>
      <c r="D37" s="51" t="s">
        <v>164</v>
      </c>
      <c r="E37" s="61" t="s">
        <v>170</v>
      </c>
      <c r="F37" s="54">
        <v>702</v>
      </c>
      <c r="G37" s="64">
        <v>642</v>
      </c>
      <c r="H37" s="64"/>
      <c r="I37" s="64"/>
      <c r="J37" s="64"/>
      <c r="K37" s="64">
        <v>702</v>
      </c>
    </row>
    <row r="38" spans="2:12" ht="15.75">
      <c r="B38" s="55" t="s">
        <v>67</v>
      </c>
      <c r="C38" s="56" t="s">
        <v>169</v>
      </c>
      <c r="D38" s="55" t="s">
        <v>164</v>
      </c>
      <c r="E38" s="62" t="s">
        <v>171</v>
      </c>
      <c r="F38" s="54">
        <v>0.5</v>
      </c>
      <c r="G38" s="64">
        <f>F38-6</f>
        <v>-5.5</v>
      </c>
      <c r="H38" s="65"/>
      <c r="I38" s="65"/>
      <c r="J38" s="65"/>
      <c r="K38" s="65">
        <v>0.5</v>
      </c>
    </row>
    <row r="39" spans="2:12" ht="15.75">
      <c r="B39" s="51" t="s">
        <v>70</v>
      </c>
      <c r="C39" s="52" t="s">
        <v>172</v>
      </c>
      <c r="D39" s="51" t="s">
        <v>157</v>
      </c>
      <c r="E39" s="60">
        <v>0.95</v>
      </c>
      <c r="F39" s="54">
        <v>79.84</v>
      </c>
      <c r="G39" s="64">
        <v>-15.16</v>
      </c>
      <c r="H39" s="64"/>
      <c r="I39" s="64"/>
      <c r="J39" s="64"/>
      <c r="K39" s="64">
        <v>79.84</v>
      </c>
      <c r="L39" s="46" t="s">
        <v>173</v>
      </c>
    </row>
    <row r="40" spans="2:12" ht="15.75">
      <c r="B40" s="55" t="s">
        <v>70</v>
      </c>
      <c r="C40" s="56" t="s">
        <v>174</v>
      </c>
      <c r="D40" s="55" t="s">
        <v>159</v>
      </c>
      <c r="E40" s="57">
        <v>0.95</v>
      </c>
      <c r="F40" s="65"/>
      <c r="G40" s="67"/>
      <c r="H40" s="65"/>
      <c r="I40" s="65"/>
      <c r="J40" s="65"/>
      <c r="K40" s="65"/>
    </row>
    <row r="41" spans="2:12" ht="15.75">
      <c r="B41" s="51" t="s">
        <v>73</v>
      </c>
      <c r="C41" s="52" t="s">
        <v>163</v>
      </c>
      <c r="D41" s="51" t="s">
        <v>164</v>
      </c>
      <c r="E41" s="53">
        <v>250000</v>
      </c>
      <c r="F41" s="63">
        <v>214795.97</v>
      </c>
      <c r="G41" s="67">
        <f>F41-E41</f>
        <v>-35204.03</v>
      </c>
      <c r="H41" s="64"/>
      <c r="I41" s="64"/>
      <c r="J41" s="64"/>
      <c r="K41" s="64"/>
    </row>
    <row r="42" spans="2:12" ht="15.75">
      <c r="B42" s="55" t="s">
        <v>82</v>
      </c>
      <c r="C42" s="56" t="s">
        <v>175</v>
      </c>
      <c r="D42" s="55" t="s">
        <v>164</v>
      </c>
      <c r="E42" s="62"/>
      <c r="F42" s="65">
        <v>59</v>
      </c>
      <c r="G42" s="67"/>
      <c r="H42" s="65"/>
      <c r="I42" s="65"/>
      <c r="J42" s="65"/>
      <c r="K42" s="65">
        <v>59</v>
      </c>
    </row>
    <row r="43" spans="2:12" ht="15.75">
      <c r="B43" s="51" t="s">
        <v>176</v>
      </c>
      <c r="C43" s="52" t="s">
        <v>156</v>
      </c>
      <c r="D43" s="51" t="s">
        <v>157</v>
      </c>
      <c r="E43" s="61" t="s">
        <v>177</v>
      </c>
      <c r="F43" s="54">
        <v>0</v>
      </c>
      <c r="G43" s="64">
        <v>-1</v>
      </c>
      <c r="H43" s="64"/>
      <c r="I43" s="64"/>
      <c r="J43" s="64"/>
      <c r="K43" s="64"/>
    </row>
    <row r="44" spans="2:12" ht="15.75">
      <c r="B44" s="51" t="s">
        <v>176</v>
      </c>
      <c r="C44" s="52" t="s">
        <v>158</v>
      </c>
      <c r="D44" s="51" t="s">
        <v>159</v>
      </c>
      <c r="E44" s="61" t="s">
        <v>177</v>
      </c>
      <c r="F44" s="58">
        <v>2</v>
      </c>
      <c r="G44" s="64">
        <v>1</v>
      </c>
      <c r="H44" s="64"/>
      <c r="I44" s="64"/>
      <c r="J44" s="64"/>
      <c r="K44" s="64">
        <v>2</v>
      </c>
    </row>
    <row r="45" spans="2:12" ht="15.75">
      <c r="B45" s="55" t="s">
        <v>178</v>
      </c>
      <c r="C45" s="56" t="s">
        <v>175</v>
      </c>
      <c r="D45" s="55" t="s">
        <v>157</v>
      </c>
      <c r="E45" s="57">
        <v>0.85</v>
      </c>
      <c r="F45" s="58">
        <v>90.1</v>
      </c>
      <c r="G45" s="64">
        <v>5.0999999999999996</v>
      </c>
      <c r="H45" s="65"/>
      <c r="I45" s="65"/>
      <c r="J45" s="65"/>
      <c r="K45" s="65">
        <v>90.1</v>
      </c>
    </row>
    <row r="46" spans="2:12" ht="15.75">
      <c r="B46" s="55" t="s">
        <v>178</v>
      </c>
      <c r="C46" s="52" t="s">
        <v>175</v>
      </c>
      <c r="D46" s="51" t="s">
        <v>159</v>
      </c>
      <c r="E46" s="60">
        <v>0.85</v>
      </c>
      <c r="F46" s="58">
        <v>95.8</v>
      </c>
      <c r="G46" s="64">
        <v>10.8</v>
      </c>
      <c r="H46" s="64"/>
      <c r="I46" s="64"/>
      <c r="J46" s="64"/>
      <c r="K46" s="64">
        <v>95.8</v>
      </c>
    </row>
    <row r="48" spans="2:12" ht="22.15" customHeight="1">
      <c r="B48" s="35" t="s">
        <v>179</v>
      </c>
      <c r="C48" s="35"/>
      <c r="D48" s="35"/>
      <c r="E48" s="35"/>
      <c r="F48" s="35"/>
      <c r="G48" s="35"/>
      <c r="H48" s="35"/>
      <c r="I48" s="35"/>
      <c r="J48" s="35"/>
      <c r="K48" s="35"/>
    </row>
    <row r="49" spans="2:11" ht="19.899999999999999" customHeight="1">
      <c r="B49" s="3" t="s">
        <v>180</v>
      </c>
      <c r="C49" s="3" t="s">
        <v>46</v>
      </c>
      <c r="D49" s="3" t="s">
        <v>148</v>
      </c>
      <c r="E49" s="3" t="s">
        <v>181</v>
      </c>
      <c r="F49" s="3" t="s">
        <v>139</v>
      </c>
      <c r="G49" s="3" t="s">
        <v>182</v>
      </c>
    </row>
    <row r="50" spans="2:11" ht="15.75">
      <c r="B50" s="47" t="s">
        <v>183</v>
      </c>
      <c r="C50" s="48" t="s">
        <v>169</v>
      </c>
      <c r="D50" s="47" t="s">
        <v>157</v>
      </c>
      <c r="E50" s="48" t="s">
        <v>184</v>
      </c>
      <c r="F50" s="48" t="s">
        <v>185</v>
      </c>
      <c r="G50" s="48" t="s">
        <v>186</v>
      </c>
    </row>
    <row r="51" spans="2:11" ht="15.75">
      <c r="B51" s="47" t="s">
        <v>187</v>
      </c>
      <c r="C51" s="48" t="s">
        <v>156</v>
      </c>
      <c r="D51" s="47" t="s">
        <v>157</v>
      </c>
      <c r="E51" s="48" t="s">
        <v>184</v>
      </c>
      <c r="F51" s="48" t="s">
        <v>188</v>
      </c>
      <c r="G51" s="48" t="s">
        <v>189</v>
      </c>
    </row>
    <row r="52" spans="2:11" ht="15.75">
      <c r="B52" s="49" t="s">
        <v>190</v>
      </c>
      <c r="C52" s="50" t="s">
        <v>163</v>
      </c>
      <c r="D52" s="49" t="s">
        <v>159</v>
      </c>
      <c r="E52" s="50" t="s">
        <v>184</v>
      </c>
      <c r="F52" s="50" t="s">
        <v>188</v>
      </c>
      <c r="G52" s="50"/>
    </row>
    <row r="53" spans="2:11" ht="15.75">
      <c r="B53" s="47" t="s">
        <v>191</v>
      </c>
      <c r="C53" s="48" t="s">
        <v>163</v>
      </c>
      <c r="D53" s="47" t="s">
        <v>161</v>
      </c>
      <c r="E53" s="48" t="s">
        <v>184</v>
      </c>
      <c r="F53" s="48" t="s">
        <v>188</v>
      </c>
      <c r="G53" s="48"/>
    </row>
    <row r="54" spans="2:11" ht="15.75">
      <c r="B54" s="49" t="s">
        <v>192</v>
      </c>
      <c r="C54" s="50" t="s">
        <v>163</v>
      </c>
      <c r="D54" s="49" t="s">
        <v>164</v>
      </c>
      <c r="E54" s="50" t="s">
        <v>184</v>
      </c>
      <c r="F54" s="50" t="s">
        <v>188</v>
      </c>
      <c r="G54" s="50"/>
    </row>
    <row r="55" spans="2:11" ht="15.75">
      <c r="B55" s="47" t="s">
        <v>193</v>
      </c>
      <c r="C55" s="48" t="s">
        <v>163</v>
      </c>
      <c r="D55" s="47" t="s">
        <v>164</v>
      </c>
      <c r="E55" s="48" t="s">
        <v>184</v>
      </c>
      <c r="F55" s="48" t="s">
        <v>188</v>
      </c>
      <c r="G55" s="48"/>
    </row>
    <row r="56" spans="2:11" ht="15.75">
      <c r="B56" s="49" t="s">
        <v>194</v>
      </c>
      <c r="C56" s="50" t="s">
        <v>195</v>
      </c>
      <c r="D56" s="49" t="s">
        <v>164</v>
      </c>
      <c r="E56" s="48" t="s">
        <v>184</v>
      </c>
      <c r="F56" s="50" t="s">
        <v>188</v>
      </c>
      <c r="G56" s="50"/>
    </row>
    <row r="57" spans="2:11" ht="15.75">
      <c r="B57" s="47" t="s">
        <v>196</v>
      </c>
      <c r="C57" s="48" t="s">
        <v>163</v>
      </c>
      <c r="D57" s="47" t="s">
        <v>164</v>
      </c>
      <c r="E57" s="48" t="s">
        <v>184</v>
      </c>
      <c r="F57" s="48" t="s">
        <v>188</v>
      </c>
      <c r="G57" s="48"/>
    </row>
    <row r="58" spans="2:11" ht="15.75">
      <c r="B58" s="69" t="s">
        <v>197</v>
      </c>
      <c r="C58" s="70" t="s">
        <v>156</v>
      </c>
      <c r="D58" s="69" t="s">
        <v>164</v>
      </c>
      <c r="E58" s="48" t="s">
        <v>184</v>
      </c>
      <c r="F58" s="70"/>
      <c r="G58" s="70" t="s">
        <v>198</v>
      </c>
    </row>
    <row r="59" spans="2:11" ht="15.75">
      <c r="B59" s="71"/>
      <c r="C59" s="70"/>
      <c r="D59" s="69" t="s">
        <v>164</v>
      </c>
      <c r="E59" s="48" t="s">
        <v>184</v>
      </c>
      <c r="F59" s="71"/>
      <c r="G59" s="71"/>
    </row>
    <row r="60" spans="2:11" ht="22.15" customHeight="1">
      <c r="B60" s="35" t="s">
        <v>199</v>
      </c>
      <c r="C60" s="35"/>
      <c r="D60" s="35"/>
      <c r="E60" s="35"/>
      <c r="F60" s="35"/>
      <c r="G60" s="35"/>
      <c r="H60" s="35"/>
      <c r="I60" s="35"/>
      <c r="J60" s="35"/>
      <c r="K60" s="35"/>
    </row>
    <row r="61" spans="2:11" ht="19.899999999999999" customHeight="1">
      <c r="B61" s="3" t="s">
        <v>200</v>
      </c>
      <c r="C61" s="3" t="s">
        <v>46</v>
      </c>
      <c r="D61" s="3" t="s">
        <v>148</v>
      </c>
      <c r="E61" s="3" t="s">
        <v>181</v>
      </c>
      <c r="F61" s="3" t="s">
        <v>201</v>
      </c>
    </row>
    <row r="62" spans="2:11" ht="15.75">
      <c r="B62" s="47" t="s">
        <v>202</v>
      </c>
      <c r="C62" s="48" t="s">
        <v>163</v>
      </c>
      <c r="D62" s="49" t="s">
        <v>157</v>
      </c>
      <c r="E62" s="48"/>
      <c r="F62" s="48" t="s">
        <v>203</v>
      </c>
      <c r="G62" s="71"/>
      <c r="H62" s="71"/>
      <c r="I62" s="71"/>
    </row>
    <row r="63" spans="2:11" ht="15.75">
      <c r="B63" s="72" t="s">
        <v>204</v>
      </c>
      <c r="C63" s="48" t="s">
        <v>158</v>
      </c>
      <c r="D63" s="49" t="s">
        <v>159</v>
      </c>
      <c r="E63" s="73"/>
      <c r="F63" s="73" t="s">
        <v>203</v>
      </c>
      <c r="G63" s="74">
        <v>1134.8499999999999</v>
      </c>
      <c r="H63" s="71" t="s">
        <v>205</v>
      </c>
      <c r="I63" s="71"/>
    </row>
    <row r="64" spans="2:11" ht="15.75">
      <c r="B64" s="75" t="s">
        <v>206</v>
      </c>
      <c r="C64" s="48" t="s">
        <v>156</v>
      </c>
      <c r="D64" s="49" t="s">
        <v>157</v>
      </c>
      <c r="E64" s="76"/>
      <c r="F64" s="76" t="s">
        <v>203</v>
      </c>
      <c r="G64" s="71">
        <v>4000</v>
      </c>
      <c r="H64" s="71"/>
      <c r="I64" s="71"/>
    </row>
    <row r="65" spans="2:11" ht="15.75">
      <c r="B65" s="72" t="s">
        <v>207</v>
      </c>
      <c r="C65" s="48" t="s">
        <v>174</v>
      </c>
      <c r="D65" s="49" t="s">
        <v>159</v>
      </c>
      <c r="E65" s="73"/>
      <c r="F65" s="73" t="s">
        <v>208</v>
      </c>
      <c r="G65" s="71"/>
      <c r="H65" s="71"/>
      <c r="I65" s="71"/>
    </row>
    <row r="66" spans="2:11" ht="15.75">
      <c r="B66" s="75" t="s">
        <v>209</v>
      </c>
      <c r="C66" s="48" t="s">
        <v>210</v>
      </c>
      <c r="D66" s="49" t="s">
        <v>164</v>
      </c>
      <c r="E66" s="77">
        <v>46126</v>
      </c>
      <c r="F66" s="76" t="s">
        <v>208</v>
      </c>
      <c r="G66" s="71"/>
      <c r="H66" s="71"/>
      <c r="I66" s="71"/>
    </row>
    <row r="67" spans="2:11" ht="15.75">
      <c r="B67" s="72" t="s">
        <v>211</v>
      </c>
      <c r="C67" s="48" t="s">
        <v>195</v>
      </c>
      <c r="D67" s="49" t="s">
        <v>164</v>
      </c>
      <c r="E67" s="73"/>
      <c r="F67" s="73" t="s">
        <v>203</v>
      </c>
      <c r="G67" s="71"/>
      <c r="H67" s="71"/>
      <c r="I67" s="71"/>
    </row>
    <row r="68" spans="2:11" ht="15.75">
      <c r="B68" s="75" t="s">
        <v>212</v>
      </c>
      <c r="C68" s="48" t="s">
        <v>156</v>
      </c>
      <c r="D68" s="49"/>
      <c r="E68" s="77">
        <v>46140</v>
      </c>
      <c r="F68" s="76"/>
      <c r="G68" s="71"/>
      <c r="H68" s="71"/>
      <c r="I68" s="71"/>
    </row>
    <row r="69" spans="2:11" ht="15.75">
      <c r="B69" s="78" t="s">
        <v>213</v>
      </c>
      <c r="C69" s="48" t="s">
        <v>169</v>
      </c>
      <c r="D69" s="49"/>
      <c r="E69" s="86">
        <v>46140</v>
      </c>
      <c r="F69" s="79"/>
      <c r="G69" s="71"/>
      <c r="H69" s="71"/>
      <c r="I69" s="71"/>
    </row>
    <row r="70" spans="2:11" ht="15.75">
      <c r="B70" s="71"/>
      <c r="C70" s="48" t="s">
        <v>156</v>
      </c>
      <c r="D70" s="49"/>
      <c r="E70" s="71"/>
      <c r="F70" s="71"/>
      <c r="G70" s="71"/>
      <c r="H70" s="71"/>
      <c r="I70" s="71"/>
    </row>
    <row r="71" spans="2:11" ht="22.15" customHeight="1">
      <c r="B71" s="35" t="s">
        <v>214</v>
      </c>
      <c r="C71" s="35"/>
      <c r="D71" s="35"/>
      <c r="E71" s="35"/>
      <c r="F71" s="35"/>
      <c r="G71" s="35"/>
      <c r="H71" s="35"/>
      <c r="I71" s="35"/>
      <c r="J71" s="35"/>
      <c r="K71" s="35"/>
    </row>
    <row r="72" spans="2:11" ht="19.899999999999999" customHeight="1">
      <c r="B72" s="3" t="s">
        <v>215</v>
      </c>
      <c r="C72" s="3" t="s">
        <v>216</v>
      </c>
      <c r="D72" s="3" t="s">
        <v>46</v>
      </c>
      <c r="E72" s="3" t="s">
        <v>148</v>
      </c>
      <c r="F72" s="3" t="s">
        <v>217</v>
      </c>
      <c r="G72" s="3" t="s">
        <v>218</v>
      </c>
      <c r="H72" s="3" t="s">
        <v>181</v>
      </c>
    </row>
    <row r="73" spans="2:11">
      <c r="B73" s="5" t="s">
        <v>219</v>
      </c>
      <c r="C73" s="7" t="s">
        <v>220</v>
      </c>
      <c r="D73" s="7" t="s">
        <v>221</v>
      </c>
      <c r="E73" s="7" t="s">
        <v>157</v>
      </c>
      <c r="F73" s="80"/>
      <c r="G73" s="7"/>
      <c r="H73" s="7"/>
    </row>
    <row r="74" spans="2:11">
      <c r="B74" s="39" t="s">
        <v>222</v>
      </c>
      <c r="C74" s="9" t="s">
        <v>223</v>
      </c>
      <c r="D74" s="9" t="s">
        <v>224</v>
      </c>
      <c r="E74" s="9"/>
      <c r="F74" s="81" t="s">
        <v>225</v>
      </c>
      <c r="G74" s="9"/>
      <c r="H74" s="85">
        <v>46143</v>
      </c>
    </row>
    <row r="75" spans="2:11">
      <c r="B75" s="38" t="s">
        <v>226</v>
      </c>
      <c r="C75" s="10" t="s">
        <v>223</v>
      </c>
      <c r="D75" s="10" t="s">
        <v>224</v>
      </c>
      <c r="E75" s="10"/>
      <c r="F75" s="82"/>
      <c r="G75" s="10"/>
      <c r="H75" s="85">
        <v>46143</v>
      </c>
    </row>
    <row r="76" spans="2:11">
      <c r="B76" s="39" t="s">
        <v>227</v>
      </c>
      <c r="C76" s="9" t="s">
        <v>220</v>
      </c>
      <c r="D76" s="9" t="s">
        <v>228</v>
      </c>
      <c r="E76" s="9"/>
      <c r="F76" s="81"/>
      <c r="G76" s="9"/>
      <c r="H76" s="85">
        <v>46143</v>
      </c>
    </row>
    <row r="77" spans="2:11">
      <c r="B77" s="38" t="s">
        <v>229</v>
      </c>
      <c r="C77" s="10" t="s">
        <v>230</v>
      </c>
      <c r="D77" s="10" t="s">
        <v>231</v>
      </c>
      <c r="E77" s="10" t="s">
        <v>164</v>
      </c>
      <c r="F77" s="82" t="s">
        <v>232</v>
      </c>
      <c r="G77" s="10"/>
      <c r="H77" s="10"/>
    </row>
    <row r="78" spans="2:11" ht="25.5">
      <c r="B78" s="39" t="s">
        <v>233</v>
      </c>
      <c r="C78" s="9" t="s">
        <v>223</v>
      </c>
      <c r="D78" s="9"/>
      <c r="E78" s="9" t="s">
        <v>164</v>
      </c>
      <c r="F78" s="81" t="s">
        <v>234</v>
      </c>
      <c r="G78" s="9"/>
      <c r="H78" s="9"/>
    </row>
    <row r="79" spans="2:11">
      <c r="B79" s="38" t="s">
        <v>235</v>
      </c>
      <c r="C79" s="10"/>
      <c r="D79" s="10"/>
      <c r="E79" s="10"/>
      <c r="F79" s="82"/>
      <c r="G79" s="10"/>
      <c r="H79" s="10"/>
    </row>
    <row r="80" spans="2:11">
      <c r="B80" s="39" t="s">
        <v>236</v>
      </c>
      <c r="C80" s="9"/>
      <c r="D80" s="9"/>
      <c r="E80" s="9"/>
      <c r="F80" s="81"/>
      <c r="G80" s="9"/>
      <c r="H80" s="9"/>
    </row>
    <row r="81" spans="2:11">
      <c r="B81" s="38" t="s">
        <v>237</v>
      </c>
      <c r="C81" s="10"/>
      <c r="D81" s="10"/>
      <c r="E81" s="10"/>
      <c r="F81" s="82"/>
      <c r="G81" s="10"/>
      <c r="H81" s="10"/>
    </row>
    <row r="82" spans="2:11">
      <c r="B82" s="40" t="s">
        <v>238</v>
      </c>
      <c r="C82" s="11"/>
      <c r="D82" s="11"/>
      <c r="E82" s="11"/>
      <c r="F82" s="83"/>
      <c r="G82" s="11"/>
      <c r="H82" s="11"/>
    </row>
    <row r="83" spans="2:11">
      <c r="B83" s="27" t="s">
        <v>239</v>
      </c>
      <c r="F83" s="84"/>
    </row>
    <row r="84" spans="2:11" ht="22.15" customHeight="1">
      <c r="B84" s="35" t="s">
        <v>240</v>
      </c>
      <c r="C84" s="35"/>
      <c r="D84" s="35"/>
      <c r="E84" s="35"/>
      <c r="F84" s="35"/>
      <c r="G84" s="35"/>
      <c r="H84" s="35"/>
      <c r="I84" s="35"/>
      <c r="J84" s="35"/>
      <c r="K84" s="35"/>
    </row>
    <row r="85" spans="2:11">
      <c r="B85" s="41" t="s">
        <v>241</v>
      </c>
      <c r="C85" s="42"/>
      <c r="D85" s="42"/>
      <c r="E85" s="42"/>
      <c r="F85" s="42"/>
      <c r="G85" s="42"/>
      <c r="H85" s="42"/>
      <c r="I85" s="42"/>
      <c r="J85" s="42"/>
      <c r="K85" s="42"/>
    </row>
    <row r="86" spans="2:11">
      <c r="B86" s="43"/>
      <c r="C86" s="42"/>
      <c r="D86" s="42"/>
      <c r="E86" s="42"/>
      <c r="F86" s="42"/>
      <c r="G86" s="42"/>
      <c r="H86" s="42"/>
      <c r="I86" s="42"/>
      <c r="J86" s="42"/>
      <c r="K86" s="42"/>
    </row>
    <row r="87" spans="2:11">
      <c r="B87" s="41" t="s">
        <v>242</v>
      </c>
      <c r="C87" s="42"/>
      <c r="D87" s="42"/>
      <c r="E87" s="42"/>
      <c r="F87" s="42"/>
      <c r="G87" s="42"/>
      <c r="H87" s="42"/>
      <c r="I87" s="42"/>
      <c r="J87" s="42"/>
      <c r="K87" s="42"/>
    </row>
    <row r="88" spans="2:11">
      <c r="B88" s="43"/>
      <c r="C88" s="42"/>
      <c r="D88" s="42"/>
      <c r="E88" s="42"/>
      <c r="F88" s="42"/>
      <c r="G88" s="42"/>
      <c r="H88" s="42"/>
      <c r="I88" s="42"/>
      <c r="J88" s="42"/>
      <c r="K88" s="42"/>
    </row>
    <row r="89" spans="2:11">
      <c r="B89" s="41" t="s">
        <v>243</v>
      </c>
      <c r="C89" s="42"/>
      <c r="D89" s="41" t="s">
        <v>244</v>
      </c>
      <c r="E89" s="42"/>
      <c r="F89" s="42"/>
      <c r="G89" s="42"/>
      <c r="H89" s="42"/>
      <c r="I89" s="42"/>
      <c r="J89" s="42"/>
      <c r="K89" s="42"/>
    </row>
    <row r="90" spans="2:11">
      <c r="B90" s="41" t="s">
        <v>245</v>
      </c>
      <c r="C90" s="42"/>
      <c r="D90" s="42"/>
      <c r="E90" s="42"/>
      <c r="F90" s="42"/>
      <c r="G90" s="42"/>
      <c r="H90" s="42"/>
      <c r="I90" s="42"/>
      <c r="J90" s="42"/>
      <c r="K90" s="42"/>
    </row>
    <row r="91" spans="2:11">
      <c r="B91" s="44"/>
      <c r="C91" s="45"/>
      <c r="D91" s="45"/>
      <c r="E91" s="45"/>
      <c r="F91" s="45"/>
      <c r="G91" s="45"/>
      <c r="H91" s="45"/>
      <c r="I91" s="45"/>
      <c r="J91" s="45"/>
      <c r="K91" s="45"/>
    </row>
  </sheetData>
  <phoneticPr fontId="14" type="noConversion"/>
  <conditionalFormatting sqref="C73:C82">
    <cfRule type="containsText" dxfId="20" priority="5" operator="containsText" text="1 - Critical">
      <formula>NOT(ISERROR(SEARCH("1 - Critical",C73)))</formula>
    </cfRule>
    <cfRule type="containsText" dxfId="19" priority="6" operator="containsText" text="2 - High">
      <formula>NOT(ISERROR(SEARCH("2 - High",C73)))</formula>
    </cfRule>
    <cfRule type="containsText" dxfId="18" priority="7" operator="containsText" text="3 - Medium">
      <formula>NOT(ISERROR(SEARCH("3 - Medium",C73)))</formula>
    </cfRule>
  </conditionalFormatting>
  <conditionalFormatting sqref="F50:F58">
    <cfRule type="containsText" dxfId="17" priority="1" operator="containsText" text="On Track">
      <formula>NOT(ISERROR(SEARCH("On Track",F50)))</formula>
    </cfRule>
    <cfRule type="containsText" dxfId="16" priority="2" operator="containsText" text="Off Track">
      <formula>NOT(ISERROR(SEARCH("Off Track",F50)))</formula>
    </cfRule>
  </conditionalFormatting>
  <conditionalFormatting sqref="F62:F69">
    <cfRule type="containsText" dxfId="15" priority="3" operator="containsText" text="Yes">
      <formula>NOT(ISERROR(SEARCH("Yes",F62)))</formula>
    </cfRule>
    <cfRule type="containsText" dxfId="14" priority="4" operator="containsText" text="No">
      <formula>NOT(ISERROR(SEARCH("No",F62)))</formula>
    </cfRule>
  </conditionalFormatting>
  <dataValidations count="8">
    <dataValidation type="list" allowBlank="1" showInputMessage="1" showErrorMessage="1" sqref="F50:F58" xr:uid="{AE9D7469-D8C1-4029-825A-A86331EA8F63}">
      <formula1>"On Track,Off Track"</formula1>
    </dataValidation>
    <dataValidation type="list" allowBlank="1" showInputMessage="1" showErrorMessage="1" sqref="F62:F69" xr:uid="{A12E3BCA-3F11-4F49-955B-90B91C650BD9}">
      <formula1>"Yes,No"</formula1>
    </dataValidation>
    <dataValidation type="list" allowBlank="1" showInputMessage="1" showErrorMessage="1" sqref="C73:C82" xr:uid="{B80EA786-F869-427A-88FA-1B9A8F29436E}">
      <formula1>"1 - Critical,2 - High,3 - Medium"</formula1>
    </dataValidation>
    <dataValidation type="list" allowBlank="1" showInputMessage="1" showErrorMessage="1" sqref="D50:D59 E73:E82 D62:D70" xr:uid="{0A68CD6A-A487-4219-9634-DE658228F5FF}">
      <formula1>"FS,BL,USA,ALL"</formula1>
    </dataValidation>
    <dataValidation type="list" allowBlank="1" showInputMessage="1" showErrorMessage="1" sqref="G19:G24" xr:uid="{5FDFB0C1-F410-4D42-8C71-81DC5C775A1E}">
      <formula1>"✓ Done,In Progress,Skipped"</formula1>
    </dataValidation>
    <dataValidation type="list" allowBlank="1" showInputMessage="1" showErrorMessage="1" sqref="C29:C46" xr:uid="{A41BCAA5-7D3C-4418-9A52-4209F6F7BB55}">
      <formula1>"ANDREW, NICK, CRAIG, TOM, CHRIS B, CHRIS C, TIM, MIKE, CHIP , DANIEL"</formula1>
    </dataValidation>
    <dataValidation type="list" allowBlank="1" showInputMessage="1" showErrorMessage="1" sqref="D29:D46" xr:uid="{B79FDD8D-DC0C-4B03-B9E4-8958FD2BC6F5}">
      <formula1>"FS, BL, USA, ALL "</formula1>
    </dataValidation>
    <dataValidation type="list" allowBlank="1" showInputMessage="1" showErrorMessage="1" sqref="C50:C59 C62:C70" xr:uid="{37A855CD-AA66-45D5-BEF3-9B37779DEA00}">
      <formula1>"ANDREW, NICK, MIKE, TOM, TIM, CHRIS B, CHRIS C, CHIP, CRAIG, DANIEL"</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3FB8E-C248-4C8F-B0EA-2216D2505631}">
  <dimension ref="A2:L91"/>
  <sheetViews>
    <sheetView showGridLines="0" topLeftCell="B56" workbookViewId="0">
      <selection activeCell="G39" sqref="G39"/>
    </sheetView>
  </sheetViews>
  <sheetFormatPr defaultColWidth="8.85546875" defaultRowHeight="15"/>
  <cols>
    <col min="1" max="1" width="1.42578125" style="27" customWidth="1"/>
    <col min="2" max="2" width="67.42578125" style="27" customWidth="1"/>
    <col min="3" max="3" width="38" style="27" customWidth="1"/>
    <col min="4" max="4" width="10.28515625" style="27" customWidth="1"/>
    <col min="5" max="5" width="13.85546875" style="27" customWidth="1"/>
    <col min="6" max="6" width="26" style="27" customWidth="1"/>
    <col min="7" max="7" width="63.5703125" style="27" customWidth="1"/>
    <col min="8" max="11" width="10.28515625" style="27" customWidth="1"/>
    <col min="12" max="16384" width="8.85546875" style="27"/>
  </cols>
  <sheetData>
    <row r="2" spans="2:11" ht="30" customHeight="1">
      <c r="B2" s="26" t="s">
        <v>114</v>
      </c>
      <c r="C2" s="26"/>
      <c r="D2" s="26"/>
      <c r="E2" s="26"/>
      <c r="F2" s="26"/>
      <c r="G2" s="26"/>
      <c r="H2" s="26"/>
      <c r="I2" s="26"/>
      <c r="J2" s="26"/>
      <c r="K2" s="26"/>
    </row>
    <row r="3" spans="2:11">
      <c r="B3" s="28" t="s">
        <v>115</v>
      </c>
      <c r="C3" s="87">
        <v>46146</v>
      </c>
      <c r="D3" s="28" t="s">
        <v>116</v>
      </c>
      <c r="E3" s="29"/>
      <c r="F3" s="29"/>
      <c r="G3" s="28" t="s">
        <v>117</v>
      </c>
      <c r="H3" s="29"/>
      <c r="I3" s="29"/>
      <c r="J3" s="29"/>
      <c r="K3" s="29"/>
    </row>
    <row r="4" spans="2:11">
      <c r="B4" s="28" t="s">
        <v>118</v>
      </c>
      <c r="C4" s="29" t="s">
        <v>119</v>
      </c>
      <c r="D4" s="28" t="s">
        <v>120</v>
      </c>
      <c r="E4" s="29"/>
      <c r="F4" s="29"/>
      <c r="G4" s="28" t="s">
        <v>121</v>
      </c>
      <c r="H4" s="29"/>
      <c r="I4" s="29"/>
      <c r="J4" s="29"/>
      <c r="K4" s="29"/>
    </row>
    <row r="5" spans="2:11">
      <c r="B5" s="28" t="s">
        <v>122</v>
      </c>
      <c r="C5" s="30"/>
      <c r="D5" s="30"/>
      <c r="E5" s="30"/>
      <c r="F5" s="30"/>
      <c r="G5" s="30"/>
      <c r="H5" s="30"/>
      <c r="I5" s="30"/>
      <c r="J5" s="30"/>
      <c r="K5" s="29"/>
    </row>
    <row r="6" spans="2:11">
      <c r="B6" s="31"/>
      <c r="C6" s="31"/>
      <c r="D6" s="31"/>
      <c r="E6" s="31"/>
      <c r="F6" s="31"/>
      <c r="G6" s="31"/>
      <c r="H6" s="31"/>
      <c r="I6" s="31"/>
      <c r="J6" s="28" t="s">
        <v>123</v>
      </c>
      <c r="K6" s="29" t="s">
        <v>124</v>
      </c>
    </row>
    <row r="7" spans="2:11">
      <c r="B7" s="32"/>
      <c r="C7" s="32"/>
      <c r="D7" s="32"/>
      <c r="E7" s="32"/>
      <c r="F7" s="32"/>
      <c r="G7" s="32"/>
      <c r="H7" s="32"/>
      <c r="I7" s="32"/>
      <c r="J7" s="33" t="s">
        <v>125</v>
      </c>
      <c r="K7" s="34"/>
    </row>
    <row r="9" spans="2:11" ht="22.15" customHeight="1">
      <c r="B9" s="35" t="s">
        <v>126</v>
      </c>
      <c r="C9" s="35"/>
      <c r="D9" s="35"/>
      <c r="E9" s="35"/>
      <c r="F9" s="35"/>
      <c r="G9" s="35"/>
      <c r="H9" s="35"/>
      <c r="I9" s="35"/>
      <c r="J9" s="35"/>
      <c r="K9" s="35"/>
    </row>
    <row r="10" spans="2:11">
      <c r="B10" s="36" t="s">
        <v>127</v>
      </c>
      <c r="C10" s="36"/>
      <c r="D10" s="36"/>
      <c r="E10" s="36"/>
      <c r="F10" s="36"/>
      <c r="G10" s="36"/>
      <c r="H10" s="36"/>
      <c r="I10" s="36"/>
      <c r="J10" s="36"/>
      <c r="K10" s="36"/>
    </row>
    <row r="11" spans="2:11">
      <c r="B11" s="37" t="s">
        <v>128</v>
      </c>
      <c r="C11" s="37"/>
      <c r="D11" s="37"/>
      <c r="E11" s="37"/>
      <c r="F11" s="37"/>
      <c r="G11" s="37"/>
      <c r="H11" s="37"/>
      <c r="I11" s="37"/>
      <c r="J11" s="37"/>
      <c r="K11" s="37"/>
    </row>
    <row r="12" spans="2:11">
      <c r="B12" s="36" t="s">
        <v>129</v>
      </c>
      <c r="C12" s="36"/>
      <c r="D12" s="36"/>
      <c r="E12" s="36"/>
      <c r="F12" s="36"/>
      <c r="G12" s="36"/>
      <c r="H12" s="36"/>
      <c r="I12" s="36"/>
      <c r="J12" s="36"/>
      <c r="K12" s="36"/>
    </row>
    <row r="13" spans="2:11">
      <c r="B13" s="37" t="s">
        <v>130</v>
      </c>
      <c r="C13" s="37"/>
      <c r="D13" s="37"/>
      <c r="E13" s="37"/>
      <c r="F13" s="37"/>
      <c r="G13" s="37"/>
      <c r="H13" s="37"/>
      <c r="I13" s="37"/>
      <c r="J13" s="37"/>
      <c r="K13" s="37"/>
    </row>
    <row r="14" spans="2:11">
      <c r="B14" s="36" t="s">
        <v>131</v>
      </c>
      <c r="C14" s="36"/>
      <c r="D14" s="36"/>
      <c r="E14" s="36"/>
      <c r="F14" s="36"/>
      <c r="G14" s="36"/>
      <c r="H14" s="36"/>
      <c r="I14" s="36"/>
      <c r="J14" s="36"/>
      <c r="K14" s="36"/>
    </row>
    <row r="15" spans="2:11">
      <c r="B15" s="37" t="s">
        <v>132</v>
      </c>
      <c r="C15" s="37"/>
      <c r="D15" s="37"/>
      <c r="E15" s="37"/>
      <c r="F15" s="37"/>
      <c r="G15" s="37"/>
      <c r="H15" s="37"/>
      <c r="I15" s="37"/>
      <c r="J15" s="37"/>
      <c r="K15" s="37"/>
    </row>
    <row r="17" spans="2:11" ht="22.15" customHeight="1">
      <c r="B17" s="35" t="s">
        <v>133</v>
      </c>
      <c r="C17" s="35"/>
      <c r="D17" s="35"/>
      <c r="E17" s="35"/>
      <c r="F17" s="35"/>
      <c r="G17" s="35"/>
      <c r="H17" s="35"/>
      <c r="I17" s="35"/>
      <c r="J17" s="35"/>
      <c r="K17" s="35"/>
    </row>
    <row r="18" spans="2:11" ht="19.899999999999999" customHeight="1">
      <c r="B18" s="3" t="s">
        <v>134</v>
      </c>
      <c r="C18" s="3" t="s">
        <v>135</v>
      </c>
      <c r="D18" s="3" t="s">
        <v>136</v>
      </c>
      <c r="E18" s="3" t="s">
        <v>137</v>
      </c>
      <c r="F18" s="3" t="s">
        <v>138</v>
      </c>
      <c r="G18" s="3" t="s">
        <v>139</v>
      </c>
    </row>
    <row r="19" spans="2:11">
      <c r="B19" s="4">
        <v>1</v>
      </c>
      <c r="C19" s="4" t="s">
        <v>140</v>
      </c>
      <c r="D19" s="4">
        <v>45</v>
      </c>
      <c r="E19" s="8"/>
      <c r="F19" s="8"/>
      <c r="G19" s="8"/>
    </row>
    <row r="20" spans="2:11">
      <c r="B20" s="5">
        <v>2</v>
      </c>
      <c r="C20" s="5" t="s">
        <v>141</v>
      </c>
      <c r="D20" s="5">
        <v>5</v>
      </c>
      <c r="E20" s="7"/>
      <c r="F20" s="7"/>
      <c r="G20" s="7"/>
    </row>
    <row r="21" spans="2:11">
      <c r="B21" s="4">
        <v>3</v>
      </c>
      <c r="C21" s="4" t="s">
        <v>142</v>
      </c>
      <c r="D21" s="4">
        <v>5</v>
      </c>
      <c r="E21" s="8"/>
      <c r="F21" s="8"/>
      <c r="G21" s="8"/>
    </row>
    <row r="22" spans="2:11">
      <c r="B22" s="4">
        <v>5</v>
      </c>
      <c r="C22" s="4" t="s">
        <v>143</v>
      </c>
      <c r="D22" s="4">
        <v>15</v>
      </c>
      <c r="E22" s="8"/>
      <c r="F22" s="8"/>
      <c r="G22" s="8"/>
    </row>
    <row r="23" spans="2:11">
      <c r="B23" s="5">
        <v>6</v>
      </c>
      <c r="C23" s="5" t="s">
        <v>144</v>
      </c>
      <c r="D23" s="5">
        <v>45</v>
      </c>
      <c r="E23" s="7"/>
      <c r="F23" s="7"/>
      <c r="G23" s="7"/>
    </row>
    <row r="24" spans="2:11">
      <c r="B24" s="4">
        <v>7</v>
      </c>
      <c r="C24" s="4" t="s">
        <v>145</v>
      </c>
      <c r="D24" s="4">
        <v>5</v>
      </c>
      <c r="E24" s="8"/>
      <c r="F24" s="8"/>
      <c r="G24" s="8"/>
    </row>
    <row r="25" spans="2:11">
      <c r="B25" s="6"/>
      <c r="C25" s="6" t="s">
        <v>146</v>
      </c>
      <c r="D25" s="6">
        <f>SUM(D19:D24)</f>
        <v>120</v>
      </c>
      <c r="E25" s="6"/>
      <c r="F25" s="6"/>
      <c r="G25" s="6"/>
    </row>
    <row r="27" spans="2:11" ht="22.15" customHeight="1">
      <c r="B27" s="35" t="s">
        <v>147</v>
      </c>
      <c r="C27" s="35"/>
      <c r="D27" s="35"/>
      <c r="E27" s="35"/>
      <c r="F27" s="35"/>
      <c r="G27" s="35"/>
      <c r="H27" s="35"/>
      <c r="I27" s="35"/>
      <c r="J27" s="35"/>
      <c r="K27" s="35"/>
    </row>
    <row r="28" spans="2:11" ht="19.899999999999999" customHeight="1">
      <c r="B28" s="3" t="s">
        <v>42</v>
      </c>
      <c r="C28" s="3" t="s">
        <v>46</v>
      </c>
      <c r="D28" s="3" t="s">
        <v>148</v>
      </c>
      <c r="E28" s="3" t="s">
        <v>149</v>
      </c>
      <c r="F28" s="3" t="s">
        <v>150</v>
      </c>
      <c r="G28" s="3" t="s">
        <v>151</v>
      </c>
      <c r="H28" s="3" t="s">
        <v>152</v>
      </c>
      <c r="I28" s="3" t="s">
        <v>153</v>
      </c>
      <c r="J28" s="3" t="s">
        <v>154</v>
      </c>
      <c r="K28" s="3" t="s">
        <v>155</v>
      </c>
    </row>
    <row r="29" spans="2:11" ht="15.75">
      <c r="B29" s="51" t="s">
        <v>47</v>
      </c>
      <c r="C29" s="52" t="s">
        <v>156</v>
      </c>
      <c r="D29" s="51" t="s">
        <v>157</v>
      </c>
      <c r="E29" s="53">
        <v>250000</v>
      </c>
      <c r="F29" s="65">
        <v>168702</v>
      </c>
      <c r="G29" s="88"/>
      <c r="H29" s="64"/>
      <c r="I29" s="64"/>
      <c r="J29" s="64"/>
      <c r="K29" s="67">
        <f>J29-I29</f>
        <v>0</v>
      </c>
    </row>
    <row r="30" spans="2:11" ht="15.75">
      <c r="B30" s="55" t="s">
        <v>51</v>
      </c>
      <c r="C30" s="56" t="s">
        <v>156</v>
      </c>
      <c r="D30" s="55" t="s">
        <v>157</v>
      </c>
      <c r="E30" s="57">
        <v>0.5</v>
      </c>
      <c r="F30" s="65">
        <v>63.21</v>
      </c>
      <c r="G30" s="89"/>
      <c r="H30" s="65"/>
      <c r="I30" s="65"/>
      <c r="J30" s="65"/>
      <c r="K30" s="68">
        <v>9.18</v>
      </c>
    </row>
    <row r="31" spans="2:11" ht="15.75">
      <c r="B31" s="55" t="s">
        <v>47</v>
      </c>
      <c r="C31" s="56" t="s">
        <v>158</v>
      </c>
      <c r="D31" s="55" t="s">
        <v>159</v>
      </c>
      <c r="E31" s="59">
        <v>100000</v>
      </c>
      <c r="F31" s="66">
        <v>46577</v>
      </c>
      <c r="G31" s="88"/>
      <c r="H31" s="65"/>
      <c r="I31" s="65"/>
      <c r="J31" s="65"/>
      <c r="K31" s="67">
        <f>J31-I31</f>
        <v>0</v>
      </c>
    </row>
    <row r="32" spans="2:11" ht="15.75">
      <c r="B32" s="51" t="s">
        <v>51</v>
      </c>
      <c r="C32" s="52" t="s">
        <v>158</v>
      </c>
      <c r="D32" s="51" t="s">
        <v>159</v>
      </c>
      <c r="E32" s="60">
        <v>0.3</v>
      </c>
      <c r="F32" s="65">
        <v>24.53</v>
      </c>
      <c r="G32" s="65"/>
      <c r="H32" s="64"/>
      <c r="I32" s="64"/>
      <c r="J32" s="64"/>
      <c r="K32" s="64">
        <v>2.34</v>
      </c>
    </row>
    <row r="33" spans="2:12" ht="15.75">
      <c r="B33" s="51" t="s">
        <v>47</v>
      </c>
      <c r="C33" s="52" t="s">
        <v>160</v>
      </c>
      <c r="D33" s="51" t="s">
        <v>161</v>
      </c>
      <c r="E33" s="53">
        <v>312000</v>
      </c>
      <c r="F33" s="90">
        <v>207183.39</v>
      </c>
      <c r="G33" s="88"/>
      <c r="H33" s="64"/>
      <c r="I33" s="64"/>
      <c r="J33" s="64"/>
      <c r="K33" s="67">
        <f>J33-I33</f>
        <v>0</v>
      </c>
    </row>
    <row r="34" spans="2:12" ht="15.75">
      <c r="B34" s="55" t="s">
        <v>51</v>
      </c>
      <c r="C34" s="56" t="s">
        <v>160</v>
      </c>
      <c r="D34" s="55" t="s">
        <v>161</v>
      </c>
      <c r="E34" s="57">
        <v>0.15</v>
      </c>
      <c r="F34" s="91">
        <v>0.187</v>
      </c>
      <c r="G34" s="88"/>
      <c r="H34" s="65"/>
      <c r="I34" s="65"/>
      <c r="J34" s="65"/>
      <c r="K34" s="67"/>
    </row>
    <row r="35" spans="2:12" ht="15.75">
      <c r="B35" s="51" t="s">
        <v>162</v>
      </c>
      <c r="C35" s="56" t="s">
        <v>163</v>
      </c>
      <c r="D35" s="51" t="s">
        <v>164</v>
      </c>
      <c r="E35" s="61" t="s">
        <v>165</v>
      </c>
      <c r="F35" s="65">
        <v>32.700000000000003</v>
      </c>
      <c r="G35" s="65"/>
      <c r="H35" s="64"/>
      <c r="I35" s="64"/>
      <c r="J35" s="64"/>
      <c r="K35" s="64">
        <v>-12</v>
      </c>
    </row>
    <row r="36" spans="2:12" ht="15.75">
      <c r="B36" s="55" t="s">
        <v>166</v>
      </c>
      <c r="C36" s="56" t="s">
        <v>163</v>
      </c>
      <c r="D36" s="55" t="s">
        <v>164</v>
      </c>
      <c r="E36" s="62" t="s">
        <v>167</v>
      </c>
      <c r="F36" s="65">
        <v>37.299999999999997</v>
      </c>
      <c r="G36" s="65"/>
      <c r="H36" s="65"/>
      <c r="I36" s="65"/>
      <c r="J36" s="65"/>
      <c r="K36" s="64">
        <v>7</v>
      </c>
    </row>
    <row r="37" spans="2:12" ht="15.75">
      <c r="B37" s="51" t="s">
        <v>168</v>
      </c>
      <c r="C37" s="52" t="s">
        <v>169</v>
      </c>
      <c r="D37" s="51" t="s">
        <v>164</v>
      </c>
      <c r="E37" s="61" t="s">
        <v>170</v>
      </c>
      <c r="F37" s="65">
        <v>116</v>
      </c>
      <c r="G37" s="65"/>
      <c r="H37" s="64"/>
      <c r="I37" s="64"/>
      <c r="J37" s="64">
        <v>139</v>
      </c>
      <c r="K37" s="64">
        <v>702</v>
      </c>
    </row>
    <row r="38" spans="2:12" ht="15.75">
      <c r="B38" s="55" t="s">
        <v>67</v>
      </c>
      <c r="C38" s="56" t="s">
        <v>169</v>
      </c>
      <c r="D38" s="55" t="s">
        <v>164</v>
      </c>
      <c r="E38" s="62" t="s">
        <v>171</v>
      </c>
      <c r="F38" s="65">
        <v>3.15</v>
      </c>
      <c r="G38" s="65"/>
      <c r="H38" s="65"/>
      <c r="I38" s="65"/>
      <c r="J38" s="65">
        <v>2.63</v>
      </c>
      <c r="K38" s="65">
        <v>0.5</v>
      </c>
      <c r="L38" t="s">
        <v>246</v>
      </c>
    </row>
    <row r="39" spans="2:12" ht="15.75">
      <c r="B39" s="51" t="s">
        <v>70</v>
      </c>
      <c r="C39" s="52" t="s">
        <v>172</v>
      </c>
      <c r="D39" s="51" t="s">
        <v>157</v>
      </c>
      <c r="E39" s="60">
        <v>0.95</v>
      </c>
      <c r="F39" s="65">
        <v>78.37</v>
      </c>
      <c r="G39" s="65"/>
      <c r="H39" s="64"/>
      <c r="I39" s="64"/>
      <c r="J39" s="64">
        <v>80.209999999999994</v>
      </c>
      <c r="K39" s="64">
        <v>79.84</v>
      </c>
      <c r="L39" s="46"/>
    </row>
    <row r="40" spans="2:12" ht="15.75">
      <c r="B40" s="55" t="s">
        <v>70</v>
      </c>
      <c r="C40" s="56" t="s">
        <v>174</v>
      </c>
      <c r="D40" s="55" t="s">
        <v>159</v>
      </c>
      <c r="E40" s="57">
        <v>0.95</v>
      </c>
      <c r="F40" s="65"/>
      <c r="G40" s="88"/>
      <c r="H40" s="65"/>
      <c r="I40" s="65"/>
      <c r="J40" s="65"/>
      <c r="K40" s="65"/>
    </row>
    <row r="41" spans="2:12" ht="15.75">
      <c r="B41" s="51" t="s">
        <v>73</v>
      </c>
      <c r="C41" s="52" t="s">
        <v>163</v>
      </c>
      <c r="D41" s="51" t="s">
        <v>164</v>
      </c>
      <c r="E41" s="53">
        <v>250000</v>
      </c>
      <c r="F41" s="90">
        <v>322292</v>
      </c>
      <c r="G41" s="88">
        <f>F41-E41</f>
        <v>72292</v>
      </c>
      <c r="H41" s="64"/>
      <c r="I41" s="64"/>
      <c r="J41" s="64"/>
      <c r="K41" s="64"/>
    </row>
    <row r="42" spans="2:12" ht="15.75">
      <c r="B42" s="55" t="s">
        <v>82</v>
      </c>
      <c r="C42" s="56" t="s">
        <v>175</v>
      </c>
      <c r="D42" s="55" t="s">
        <v>164</v>
      </c>
      <c r="E42" s="62"/>
      <c r="F42" s="65" t="s">
        <v>247</v>
      </c>
      <c r="G42" s="88" t="s">
        <v>248</v>
      </c>
      <c r="H42" s="65"/>
      <c r="I42" s="65">
        <v>84</v>
      </c>
      <c r="J42" s="65">
        <v>74</v>
      </c>
      <c r="K42" s="65">
        <v>59</v>
      </c>
    </row>
    <row r="43" spans="2:12" ht="15.75">
      <c r="B43" s="51" t="s">
        <v>176</v>
      </c>
      <c r="C43" s="52" t="s">
        <v>156</v>
      </c>
      <c r="D43" s="51" t="s">
        <v>157</v>
      </c>
      <c r="E43" s="61" t="s">
        <v>177</v>
      </c>
      <c r="F43" s="65">
        <v>1</v>
      </c>
      <c r="G43" s="65"/>
      <c r="H43" s="64"/>
      <c r="I43" s="64"/>
      <c r="J43" s="64"/>
      <c r="K43" s="64"/>
    </row>
    <row r="44" spans="2:12" ht="15.75">
      <c r="B44" s="51" t="s">
        <v>176</v>
      </c>
      <c r="C44" s="52" t="s">
        <v>158</v>
      </c>
      <c r="D44" s="51" t="s">
        <v>159</v>
      </c>
      <c r="E44" s="61" t="s">
        <v>177</v>
      </c>
      <c r="F44" s="65">
        <v>1</v>
      </c>
      <c r="G44" s="65"/>
      <c r="H44" s="64"/>
      <c r="I44" s="64"/>
      <c r="J44" s="64"/>
      <c r="K44" s="64">
        <v>2</v>
      </c>
    </row>
    <row r="45" spans="2:12" ht="15.75">
      <c r="B45" s="55" t="s">
        <v>178</v>
      </c>
      <c r="C45" s="56" t="s">
        <v>175</v>
      </c>
      <c r="D45" s="55" t="s">
        <v>157</v>
      </c>
      <c r="E45" s="57">
        <v>0.85</v>
      </c>
      <c r="F45" s="65">
        <v>89.9</v>
      </c>
      <c r="G45" s="65"/>
      <c r="H45" s="65"/>
      <c r="I45" s="65">
        <v>89.9</v>
      </c>
      <c r="J45" s="65">
        <v>92.3</v>
      </c>
      <c r="K45" s="65">
        <v>90.1</v>
      </c>
    </row>
    <row r="46" spans="2:12" ht="15.75">
      <c r="B46" s="55" t="s">
        <v>178</v>
      </c>
      <c r="C46" s="52" t="s">
        <v>175</v>
      </c>
      <c r="D46" s="51" t="s">
        <v>159</v>
      </c>
      <c r="E46" s="60">
        <v>0.85</v>
      </c>
      <c r="F46" s="64">
        <v>95.3</v>
      </c>
      <c r="G46" s="65" t="s">
        <v>249</v>
      </c>
      <c r="H46" s="64"/>
      <c r="I46" s="64">
        <v>95.3</v>
      </c>
      <c r="J46" s="64">
        <v>98.2</v>
      </c>
      <c r="K46" s="64">
        <v>95.8</v>
      </c>
    </row>
    <row r="48" spans="2:12" ht="22.15" customHeight="1">
      <c r="B48" s="35" t="s">
        <v>179</v>
      </c>
      <c r="C48" s="35"/>
      <c r="D48" s="35"/>
      <c r="E48" s="35"/>
      <c r="F48" s="35"/>
      <c r="G48" s="35"/>
      <c r="H48" s="35"/>
      <c r="I48" s="35"/>
      <c r="J48" s="35"/>
      <c r="K48" s="35"/>
    </row>
    <row r="49" spans="2:11" ht="19.899999999999999" customHeight="1">
      <c r="B49" s="3" t="s">
        <v>180</v>
      </c>
      <c r="C49" s="3" t="s">
        <v>46</v>
      </c>
      <c r="D49" s="3" t="s">
        <v>148</v>
      </c>
      <c r="E49" s="3" t="s">
        <v>181</v>
      </c>
      <c r="F49" s="3" t="s">
        <v>139</v>
      </c>
      <c r="G49" s="3" t="s">
        <v>182</v>
      </c>
    </row>
    <row r="50" spans="2:11" ht="15.75">
      <c r="B50" s="47" t="s">
        <v>183</v>
      </c>
      <c r="C50" s="48" t="s">
        <v>169</v>
      </c>
      <c r="D50" s="47" t="s">
        <v>157</v>
      </c>
      <c r="E50" s="48" t="s">
        <v>184</v>
      </c>
      <c r="F50" s="48" t="s">
        <v>185</v>
      </c>
      <c r="G50" s="48" t="s">
        <v>250</v>
      </c>
      <c r="H50" s="27" t="s">
        <v>251</v>
      </c>
    </row>
    <row r="51" spans="2:11" ht="15.75">
      <c r="B51" s="47" t="s">
        <v>187</v>
      </c>
      <c r="C51" s="48" t="s">
        <v>156</v>
      </c>
      <c r="D51" s="47" t="s">
        <v>157</v>
      </c>
      <c r="E51" s="48" t="s">
        <v>184</v>
      </c>
      <c r="F51" s="48" t="s">
        <v>188</v>
      </c>
      <c r="G51" s="48" t="s">
        <v>252</v>
      </c>
      <c r="H51" s="27" t="s">
        <v>253</v>
      </c>
    </row>
    <row r="52" spans="2:11" ht="15.75">
      <c r="B52" s="49" t="s">
        <v>190</v>
      </c>
      <c r="C52" s="50" t="s">
        <v>163</v>
      </c>
      <c r="D52" s="49" t="s">
        <v>159</v>
      </c>
      <c r="E52" s="50" t="s">
        <v>184</v>
      </c>
      <c r="F52" s="50" t="s">
        <v>188</v>
      </c>
      <c r="G52" s="50"/>
    </row>
    <row r="53" spans="2:11" ht="15.75">
      <c r="B53" s="47" t="s">
        <v>191</v>
      </c>
      <c r="C53" s="48" t="s">
        <v>163</v>
      </c>
      <c r="D53" s="47" t="s">
        <v>161</v>
      </c>
      <c r="E53" s="48" t="s">
        <v>184</v>
      </c>
      <c r="F53" s="48" t="s">
        <v>188</v>
      </c>
      <c r="G53" s="48" t="s">
        <v>254</v>
      </c>
    </row>
    <row r="54" spans="2:11" ht="15.75">
      <c r="B54" s="49" t="s">
        <v>192</v>
      </c>
      <c r="C54" s="50" t="s">
        <v>163</v>
      </c>
      <c r="D54" s="49" t="s">
        <v>164</v>
      </c>
      <c r="E54" s="50" t="s">
        <v>184</v>
      </c>
      <c r="F54" s="50" t="s">
        <v>188</v>
      </c>
      <c r="G54" s="50"/>
    </row>
    <row r="55" spans="2:11" ht="15.75">
      <c r="B55" s="47" t="s">
        <v>193</v>
      </c>
      <c r="C55" s="48" t="s">
        <v>163</v>
      </c>
      <c r="D55" s="47" t="s">
        <v>164</v>
      </c>
      <c r="E55" s="48" t="s">
        <v>184</v>
      </c>
      <c r="F55" s="48" t="s">
        <v>188</v>
      </c>
      <c r="G55" s="48"/>
    </row>
    <row r="56" spans="2:11" ht="15.75">
      <c r="B56" s="49" t="s">
        <v>194</v>
      </c>
      <c r="C56" s="50" t="s">
        <v>195</v>
      </c>
      <c r="D56" s="49" t="s">
        <v>164</v>
      </c>
      <c r="E56" s="48" t="s">
        <v>184</v>
      </c>
      <c r="F56" s="50" t="s">
        <v>255</v>
      </c>
      <c r="G56" s="50"/>
    </row>
    <row r="57" spans="2:11" ht="15.75">
      <c r="B57" s="47" t="s">
        <v>196</v>
      </c>
      <c r="C57" s="48" t="s">
        <v>163</v>
      </c>
      <c r="D57" s="47" t="s">
        <v>164</v>
      </c>
      <c r="E57" s="48" t="s">
        <v>184</v>
      </c>
      <c r="F57" s="48" t="s">
        <v>188</v>
      </c>
      <c r="G57" s="48"/>
    </row>
    <row r="58" spans="2:11" ht="15.75">
      <c r="B58" s="69" t="s">
        <v>197</v>
      </c>
      <c r="C58" s="70" t="s">
        <v>156</v>
      </c>
      <c r="D58" s="69" t="s">
        <v>164</v>
      </c>
      <c r="E58" s="48" t="s">
        <v>184</v>
      </c>
      <c r="F58" s="70" t="s">
        <v>188</v>
      </c>
      <c r="G58" s="70" t="s">
        <v>256</v>
      </c>
    </row>
    <row r="59" spans="2:11" ht="15.75">
      <c r="B59" s="71"/>
      <c r="C59" s="70"/>
      <c r="D59" s="69" t="s">
        <v>164</v>
      </c>
      <c r="E59" s="48" t="s">
        <v>184</v>
      </c>
      <c r="F59" s="71"/>
      <c r="G59" s="71"/>
    </row>
    <row r="60" spans="2:11" ht="22.15" customHeight="1">
      <c r="B60" s="35" t="s">
        <v>199</v>
      </c>
      <c r="C60" s="35"/>
      <c r="D60" s="35"/>
      <c r="E60" s="35"/>
      <c r="F60" s="35"/>
      <c r="G60" s="35"/>
      <c r="H60" s="35"/>
      <c r="I60" s="35"/>
      <c r="J60" s="35"/>
      <c r="K60" s="35"/>
    </row>
    <row r="61" spans="2:11" ht="19.899999999999999" customHeight="1">
      <c r="B61" s="3" t="s">
        <v>200</v>
      </c>
      <c r="C61" s="3" t="s">
        <v>46</v>
      </c>
      <c r="D61" s="3" t="s">
        <v>148</v>
      </c>
      <c r="E61" s="3" t="s">
        <v>181</v>
      </c>
      <c r="F61" s="3" t="s">
        <v>201</v>
      </c>
    </row>
    <row r="62" spans="2:11" ht="15.75">
      <c r="B62" s="47" t="s">
        <v>202</v>
      </c>
      <c r="C62" s="48" t="s">
        <v>163</v>
      </c>
      <c r="D62" s="49" t="s">
        <v>157</v>
      </c>
      <c r="E62" s="48"/>
      <c r="F62" s="48" t="s">
        <v>208</v>
      </c>
      <c r="G62" s="71"/>
      <c r="H62" s="71"/>
      <c r="I62" s="71"/>
    </row>
    <row r="63" spans="2:11" ht="15.75">
      <c r="B63" s="72" t="s">
        <v>204</v>
      </c>
      <c r="C63" s="48" t="s">
        <v>158</v>
      </c>
      <c r="D63" s="49" t="s">
        <v>159</v>
      </c>
      <c r="E63" s="73"/>
      <c r="F63" s="73" t="s">
        <v>203</v>
      </c>
      <c r="G63" s="74">
        <v>5420</v>
      </c>
      <c r="H63" s="71"/>
      <c r="I63" s="71"/>
    </row>
    <row r="64" spans="2:11" ht="15.75">
      <c r="B64" s="75" t="s">
        <v>206</v>
      </c>
      <c r="C64" s="48" t="s">
        <v>156</v>
      </c>
      <c r="D64" s="49" t="s">
        <v>157</v>
      </c>
      <c r="E64" s="76"/>
      <c r="F64" s="76" t="s">
        <v>203</v>
      </c>
      <c r="G64" s="71" t="s">
        <v>257</v>
      </c>
      <c r="H64" s="71"/>
      <c r="I64" s="71"/>
    </row>
    <row r="65" spans="1:11" ht="15.75">
      <c r="B65" s="72" t="s">
        <v>207</v>
      </c>
      <c r="C65" s="48" t="s">
        <v>174</v>
      </c>
      <c r="D65" s="49" t="s">
        <v>159</v>
      </c>
      <c r="E65" s="73"/>
      <c r="F65" s="73" t="s">
        <v>208</v>
      </c>
      <c r="G65" s="71" t="s">
        <v>258</v>
      </c>
      <c r="H65" s="71"/>
      <c r="I65" s="71"/>
    </row>
    <row r="66" spans="1:11" ht="15.75">
      <c r="A66" s="27" t="s">
        <v>221</v>
      </c>
      <c r="B66" s="75"/>
      <c r="C66" s="48"/>
      <c r="D66" s="49"/>
      <c r="E66" s="77"/>
      <c r="F66" s="76"/>
      <c r="G66" s="71"/>
      <c r="H66" s="71"/>
      <c r="I66" s="71"/>
    </row>
    <row r="67" spans="1:11" ht="15.75">
      <c r="B67" s="72" t="s">
        <v>211</v>
      </c>
      <c r="C67" s="48" t="s">
        <v>195</v>
      </c>
      <c r="D67" s="49" t="s">
        <v>164</v>
      </c>
      <c r="E67" s="73"/>
      <c r="F67" s="73" t="s">
        <v>208</v>
      </c>
      <c r="G67" s="71"/>
      <c r="H67" s="71"/>
      <c r="I67" s="71"/>
    </row>
    <row r="68" spans="1:11" ht="15.75">
      <c r="B68" s="75" t="s">
        <v>212</v>
      </c>
      <c r="C68" s="48" t="s">
        <v>156</v>
      </c>
      <c r="D68" s="49"/>
      <c r="E68" s="77">
        <v>46140</v>
      </c>
      <c r="F68" s="76" t="s">
        <v>208</v>
      </c>
      <c r="G68" s="70" t="s">
        <v>256</v>
      </c>
      <c r="H68" s="71"/>
      <c r="I68" s="71"/>
    </row>
    <row r="69" spans="1:11" ht="15.75">
      <c r="B69" s="78" t="s">
        <v>213</v>
      </c>
      <c r="C69" s="48" t="s">
        <v>169</v>
      </c>
      <c r="D69" s="49"/>
      <c r="E69" s="86">
        <v>46140</v>
      </c>
      <c r="F69" s="79" t="s">
        <v>208</v>
      </c>
      <c r="G69" s="71" t="s">
        <v>259</v>
      </c>
      <c r="H69" s="71" t="s">
        <v>260</v>
      </c>
      <c r="I69" s="71"/>
    </row>
    <row r="70" spans="1:11" ht="15.75">
      <c r="B70" s="71"/>
      <c r="C70" s="48" t="s">
        <v>156</v>
      </c>
      <c r="D70" s="49"/>
      <c r="E70" s="71"/>
      <c r="F70" s="71"/>
      <c r="G70" s="71"/>
      <c r="H70" s="71"/>
      <c r="I70" s="71"/>
    </row>
    <row r="71" spans="1:11" ht="22.15" customHeight="1">
      <c r="B71" s="35" t="s">
        <v>214</v>
      </c>
      <c r="C71" s="35"/>
      <c r="D71" s="35"/>
      <c r="E71" s="35"/>
      <c r="F71" s="35"/>
      <c r="G71" s="35"/>
      <c r="H71" s="35"/>
      <c r="I71" s="35"/>
      <c r="J71" s="35"/>
      <c r="K71" s="35"/>
    </row>
    <row r="72" spans="1:11" ht="19.899999999999999" customHeight="1">
      <c r="B72" s="3" t="s">
        <v>215</v>
      </c>
      <c r="C72" s="3" t="s">
        <v>216</v>
      </c>
      <c r="D72" s="3" t="s">
        <v>46</v>
      </c>
      <c r="E72" s="3" t="s">
        <v>148</v>
      </c>
      <c r="F72" s="3" t="s">
        <v>217</v>
      </c>
      <c r="G72" s="3" t="s">
        <v>218</v>
      </c>
      <c r="H72" s="3" t="s">
        <v>181</v>
      </c>
    </row>
    <row r="73" spans="1:11">
      <c r="B73" s="5" t="s">
        <v>219</v>
      </c>
      <c r="C73" s="7" t="s">
        <v>220</v>
      </c>
      <c r="D73" s="7" t="s">
        <v>221</v>
      </c>
      <c r="E73" s="7" t="s">
        <v>157</v>
      </c>
      <c r="F73" s="80"/>
      <c r="G73" s="7"/>
      <c r="H73" s="7"/>
    </row>
    <row r="74" spans="1:11">
      <c r="B74" s="39" t="s">
        <v>261</v>
      </c>
      <c r="C74" s="9"/>
      <c r="D74" s="9" t="s">
        <v>262</v>
      </c>
      <c r="E74" s="9"/>
      <c r="F74" s="81"/>
      <c r="G74" s="9" t="s">
        <v>263</v>
      </c>
      <c r="H74" s="85"/>
    </row>
    <row r="75" spans="1:11">
      <c r="B75" s="38"/>
      <c r="C75" s="10"/>
      <c r="D75" s="10"/>
      <c r="E75" s="10"/>
      <c r="F75" s="82"/>
      <c r="G75" s="10"/>
      <c r="H75" s="85"/>
    </row>
    <row r="76" spans="1:11">
      <c r="B76" s="39"/>
      <c r="C76" s="9" t="s">
        <v>220</v>
      </c>
      <c r="D76" s="9" t="s">
        <v>228</v>
      </c>
      <c r="E76" s="9" t="s">
        <v>164</v>
      </c>
      <c r="F76" s="81"/>
      <c r="G76" s="9" t="s">
        <v>264</v>
      </c>
      <c r="H76" s="85">
        <v>46143</v>
      </c>
    </row>
    <row r="77" spans="1:11">
      <c r="B77" s="38" t="s">
        <v>229</v>
      </c>
      <c r="C77" s="10" t="s">
        <v>230</v>
      </c>
      <c r="D77" s="10" t="s">
        <v>231</v>
      </c>
      <c r="E77" s="10" t="s">
        <v>164</v>
      </c>
      <c r="F77" s="82" t="s">
        <v>232</v>
      </c>
      <c r="G77" s="10"/>
      <c r="H77" s="10"/>
    </row>
    <row r="78" spans="1:11">
      <c r="B78" s="39"/>
      <c r="C78" s="9"/>
      <c r="D78" s="9"/>
      <c r="E78" s="9"/>
      <c r="F78" s="81"/>
      <c r="G78" s="9" t="s">
        <v>265</v>
      </c>
      <c r="H78" s="9"/>
    </row>
    <row r="79" spans="1:11">
      <c r="B79" s="38" t="s">
        <v>235</v>
      </c>
      <c r="C79" s="10" t="s">
        <v>220</v>
      </c>
      <c r="D79" s="10"/>
      <c r="E79" s="10"/>
      <c r="F79" s="82"/>
      <c r="G79" s="10"/>
      <c r="H79" s="10"/>
    </row>
    <row r="80" spans="1:11">
      <c r="B80" s="39" t="s">
        <v>236</v>
      </c>
      <c r="C80" s="9" t="s">
        <v>230</v>
      </c>
      <c r="D80" s="9"/>
      <c r="E80" s="9"/>
      <c r="F80" s="81"/>
      <c r="G80" s="9"/>
      <c r="H80" s="9"/>
    </row>
    <row r="81" spans="2:11">
      <c r="B81" s="38" t="s">
        <v>237</v>
      </c>
      <c r="C81" s="10" t="s">
        <v>223</v>
      </c>
      <c r="D81" s="10"/>
      <c r="E81" s="10"/>
      <c r="F81" s="82"/>
      <c r="G81" s="10"/>
      <c r="H81" s="10"/>
    </row>
    <row r="82" spans="2:11">
      <c r="B82" s="40" t="s">
        <v>238</v>
      </c>
      <c r="C82" s="11" t="s">
        <v>230</v>
      </c>
      <c r="D82" s="11" t="s">
        <v>224</v>
      </c>
      <c r="E82" s="11"/>
      <c r="F82" s="83"/>
      <c r="G82" s="11"/>
      <c r="H82" s="11"/>
    </row>
    <row r="83" spans="2:11">
      <c r="B83" s="27" t="s">
        <v>239</v>
      </c>
      <c r="F83" s="84"/>
    </row>
    <row r="84" spans="2:11" ht="22.15" customHeight="1">
      <c r="B84" s="35" t="s">
        <v>240</v>
      </c>
      <c r="C84" s="35"/>
      <c r="D84" s="35"/>
      <c r="E84" s="35"/>
      <c r="F84" s="35"/>
      <c r="G84" s="35"/>
      <c r="H84" s="35"/>
      <c r="I84" s="35"/>
      <c r="J84" s="35"/>
      <c r="K84" s="35"/>
    </row>
    <row r="85" spans="2:11">
      <c r="B85" s="41" t="s">
        <v>241</v>
      </c>
      <c r="C85" s="42"/>
      <c r="D85" s="42"/>
      <c r="E85" s="42"/>
      <c r="F85" s="42"/>
      <c r="G85" s="42"/>
      <c r="H85" s="42"/>
      <c r="I85" s="42"/>
      <c r="J85" s="42"/>
      <c r="K85" s="42"/>
    </row>
    <row r="86" spans="2:11">
      <c r="B86" s="43"/>
      <c r="C86" s="42"/>
      <c r="D86" s="42"/>
      <c r="E86" s="42"/>
      <c r="F86" s="42"/>
      <c r="G86" s="42"/>
      <c r="H86" s="42"/>
      <c r="I86" s="42"/>
      <c r="J86" s="42"/>
      <c r="K86" s="42"/>
    </row>
    <row r="87" spans="2:11">
      <c r="B87" s="41" t="s">
        <v>242</v>
      </c>
      <c r="C87" s="42"/>
      <c r="D87" s="42"/>
      <c r="E87" s="42"/>
      <c r="F87" s="42"/>
      <c r="G87" s="42"/>
      <c r="H87" s="42"/>
      <c r="I87" s="42"/>
      <c r="J87" s="42"/>
      <c r="K87" s="42"/>
    </row>
    <row r="88" spans="2:11">
      <c r="B88" s="43"/>
      <c r="C88" s="42"/>
      <c r="D88" s="42"/>
      <c r="E88" s="42"/>
      <c r="F88" s="42"/>
      <c r="G88" s="42"/>
      <c r="H88" s="42"/>
      <c r="I88" s="42"/>
      <c r="J88" s="42"/>
      <c r="K88" s="42"/>
    </row>
    <row r="89" spans="2:11">
      <c r="B89" s="41" t="s">
        <v>243</v>
      </c>
      <c r="C89" s="42"/>
      <c r="D89" s="41" t="s">
        <v>244</v>
      </c>
      <c r="E89" s="42"/>
      <c r="F89" s="42"/>
      <c r="G89" s="42"/>
      <c r="H89" s="42"/>
      <c r="I89" s="42"/>
      <c r="J89" s="42"/>
      <c r="K89" s="42"/>
    </row>
    <row r="90" spans="2:11">
      <c r="B90" s="41" t="s">
        <v>245</v>
      </c>
      <c r="C90" s="42"/>
      <c r="D90" s="42"/>
      <c r="E90" s="42"/>
      <c r="F90" s="42"/>
      <c r="G90" s="42"/>
      <c r="H90" s="42"/>
      <c r="I90" s="42"/>
      <c r="J90" s="42"/>
      <c r="K90" s="42"/>
    </row>
    <row r="91" spans="2:11">
      <c r="B91" s="44"/>
      <c r="C91" s="45"/>
      <c r="D91" s="45"/>
      <c r="E91" s="45"/>
      <c r="F91" s="45"/>
      <c r="G91" s="45"/>
      <c r="H91" s="45"/>
      <c r="I91" s="45"/>
      <c r="J91" s="45"/>
      <c r="K91" s="45"/>
    </row>
  </sheetData>
  <phoneticPr fontId="14" type="noConversion"/>
  <conditionalFormatting sqref="C73:C82">
    <cfRule type="containsText" dxfId="13" priority="5" operator="containsText" text="1 - Critical">
      <formula>NOT(ISERROR(SEARCH("1 - Critical",C73)))</formula>
    </cfRule>
    <cfRule type="containsText" dxfId="12" priority="6" operator="containsText" text="2 - High">
      <formula>NOT(ISERROR(SEARCH("2 - High",C73)))</formula>
    </cfRule>
    <cfRule type="containsText" dxfId="11" priority="7" operator="containsText" text="3 - Medium">
      <formula>NOT(ISERROR(SEARCH("3 - Medium",C73)))</formula>
    </cfRule>
  </conditionalFormatting>
  <conditionalFormatting sqref="F50:F58">
    <cfRule type="containsText" dxfId="10" priority="1" operator="containsText" text="On Track">
      <formula>NOT(ISERROR(SEARCH("On Track",F50)))</formula>
    </cfRule>
    <cfRule type="containsText" dxfId="9" priority="2" operator="containsText" text="Off Track">
      <formula>NOT(ISERROR(SEARCH("Off Track",F50)))</formula>
    </cfRule>
  </conditionalFormatting>
  <conditionalFormatting sqref="F62:F69">
    <cfRule type="containsText" dxfId="8" priority="3" operator="containsText" text="Yes">
      <formula>NOT(ISERROR(SEARCH("Yes",F62)))</formula>
    </cfRule>
    <cfRule type="containsText" dxfId="7" priority="4" operator="containsText" text="No">
      <formula>NOT(ISERROR(SEARCH("No",F62)))</formula>
    </cfRule>
  </conditionalFormatting>
  <dataValidations count="8">
    <dataValidation type="list" allowBlank="1" showInputMessage="1" showErrorMessage="1" sqref="C50:C59 C62:C70" xr:uid="{BA39FCFE-6BAA-4EF2-9E2B-CB01A24DEAB4}">
      <formula1>"ANDREW, NICK, MIKE, TOM, TIM, CHRIS B, CHRIS C, CHIP, CRAIG, DANIEL"</formula1>
    </dataValidation>
    <dataValidation type="list" allowBlank="1" showInputMessage="1" showErrorMessage="1" sqref="D29:D46" xr:uid="{51728FFE-9963-47A1-A56C-468E758E730D}">
      <formula1>"FS, BL, USA, ALL "</formula1>
    </dataValidation>
    <dataValidation type="list" allowBlank="1" showInputMessage="1" showErrorMessage="1" sqref="C29:C46" xr:uid="{567D761C-95D5-4BF0-A811-FB9D31B98B26}">
      <formula1>"ANDREW, NICK, CRAIG, TOM, CHRIS B, CHRIS C, TIM, MIKE, CHIP , DANIEL"</formula1>
    </dataValidation>
    <dataValidation type="list" allowBlank="1" showInputMessage="1" showErrorMessage="1" sqref="G19:G24" xr:uid="{2672496E-C8BF-4F85-9528-C5A8202DF352}">
      <formula1>"✓ Done,In Progress,Skipped"</formula1>
    </dataValidation>
    <dataValidation type="list" allowBlank="1" showInputMessage="1" showErrorMessage="1" sqref="D50:D59 E73:E82 D62:D70" xr:uid="{A4EDEF28-28DC-4EEE-8866-702D7A63819F}">
      <formula1>"FS,BL,USA,ALL"</formula1>
    </dataValidation>
    <dataValidation type="list" allowBlank="1" showInputMessage="1" showErrorMessage="1" sqref="C73:C82" xr:uid="{4F9CD155-2C3C-4531-AF47-7B43AF631C2A}">
      <formula1>"1 - Critical,2 - High,3 - Medium"</formula1>
    </dataValidation>
    <dataValidation type="list" allowBlank="1" showInputMessage="1" showErrorMessage="1" sqref="F62:F69" xr:uid="{A76AED2E-87DA-46B3-BA1F-E98850E672BC}">
      <formula1>"Yes,No"</formula1>
    </dataValidation>
    <dataValidation type="list" allowBlank="1" showInputMessage="1" showErrorMessage="1" sqref="F50:F59" xr:uid="{1847E58A-20C0-4CE8-85E4-9108D5F66E20}">
      <formula1>"On Track,Off Track, completed"</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3E38C-A3D9-4256-88DE-8C5154C460C4}">
  <dimension ref="B2:L78"/>
  <sheetViews>
    <sheetView showGridLines="0" tabSelected="1" topLeftCell="A36" workbookViewId="0">
      <selection activeCell="G56" sqref="G56"/>
    </sheetView>
  </sheetViews>
  <sheetFormatPr defaultColWidth="8.85546875" defaultRowHeight="15"/>
  <cols>
    <col min="1" max="1" width="1.42578125" style="27" customWidth="1"/>
    <col min="2" max="2" width="67.42578125" style="27" customWidth="1"/>
    <col min="3" max="3" width="38" style="27" customWidth="1"/>
    <col min="4" max="4" width="10.28515625" style="27" customWidth="1"/>
    <col min="5" max="5" width="13.85546875" style="27" customWidth="1"/>
    <col min="6" max="6" width="26" style="27" customWidth="1"/>
    <col min="7" max="7" width="63.5703125" style="27" customWidth="1"/>
    <col min="8" max="11" width="10.28515625" style="27" customWidth="1"/>
    <col min="12" max="16384" width="8.85546875" style="27"/>
  </cols>
  <sheetData>
    <row r="2" spans="2:11" ht="30" customHeight="1">
      <c r="B2" s="26" t="s">
        <v>114</v>
      </c>
      <c r="C2" s="26"/>
      <c r="D2" s="26"/>
      <c r="E2" s="26"/>
      <c r="F2" s="26"/>
      <c r="G2" s="26"/>
      <c r="H2" s="26"/>
      <c r="I2" s="26"/>
      <c r="J2" s="26"/>
      <c r="K2" s="26"/>
    </row>
    <row r="3" spans="2:11">
      <c r="B3" s="28" t="s">
        <v>115</v>
      </c>
      <c r="C3" s="87">
        <v>46153</v>
      </c>
      <c r="D3" s="28" t="s">
        <v>116</v>
      </c>
      <c r="E3" s="29"/>
      <c r="F3" s="29"/>
      <c r="G3" s="28" t="s">
        <v>117</v>
      </c>
      <c r="H3" s="29"/>
      <c r="I3" s="29"/>
      <c r="J3" s="29"/>
      <c r="K3" s="29"/>
    </row>
    <row r="4" spans="2:11">
      <c r="B4" s="28" t="s">
        <v>118</v>
      </c>
      <c r="C4" s="29" t="s">
        <v>157</v>
      </c>
      <c r="D4" s="28" t="s">
        <v>120</v>
      </c>
      <c r="E4" s="29"/>
      <c r="F4" s="29"/>
      <c r="G4" s="28" t="s">
        <v>121</v>
      </c>
      <c r="H4" s="29"/>
      <c r="I4" s="29"/>
      <c r="J4" s="29"/>
      <c r="K4" s="29"/>
    </row>
    <row r="5" spans="2:11">
      <c r="B5" s="28" t="s">
        <v>122</v>
      </c>
      <c r="C5" s="30"/>
      <c r="D5" s="30"/>
      <c r="E5" s="30"/>
      <c r="F5" s="30"/>
      <c r="G5" s="30"/>
      <c r="H5" s="30"/>
      <c r="I5" s="30"/>
      <c r="J5" s="30"/>
      <c r="K5" s="29"/>
    </row>
    <row r="6" spans="2:11">
      <c r="B6" s="31"/>
      <c r="C6" s="31"/>
      <c r="D6" s="31"/>
      <c r="E6" s="31"/>
      <c r="F6" s="31"/>
      <c r="G6" s="31"/>
      <c r="H6" s="31"/>
      <c r="I6" s="31"/>
      <c r="J6" s="28" t="s">
        <v>123</v>
      </c>
      <c r="K6" s="29" t="s">
        <v>124</v>
      </c>
    </row>
    <row r="7" spans="2:11">
      <c r="B7" s="32"/>
      <c r="C7" s="32"/>
      <c r="D7" s="32"/>
      <c r="E7" s="32"/>
      <c r="F7" s="32"/>
      <c r="G7" s="32"/>
      <c r="H7" s="32"/>
      <c r="I7" s="32"/>
      <c r="J7" s="33" t="s">
        <v>125</v>
      </c>
      <c r="K7" s="34"/>
    </row>
    <row r="9" spans="2:11" ht="22.15" customHeight="1">
      <c r="B9" s="35" t="s">
        <v>126</v>
      </c>
      <c r="C9" s="35"/>
      <c r="D9" s="35"/>
      <c r="E9" s="35"/>
      <c r="F9" s="35"/>
      <c r="G9" s="35"/>
      <c r="H9" s="35"/>
      <c r="I9" s="35"/>
      <c r="J9" s="35"/>
      <c r="K9" s="35"/>
    </row>
    <row r="10" spans="2:11">
      <c r="B10" s="36" t="s">
        <v>127</v>
      </c>
      <c r="C10" s="36"/>
      <c r="D10" s="36"/>
      <c r="E10" s="36"/>
      <c r="F10" s="36"/>
      <c r="G10" s="36"/>
      <c r="H10" s="36"/>
      <c r="I10" s="36"/>
      <c r="J10" s="36"/>
      <c r="K10" s="36"/>
    </row>
    <row r="11" spans="2:11">
      <c r="B11" s="37" t="s">
        <v>128</v>
      </c>
      <c r="C11" s="37"/>
      <c r="D11" s="37"/>
      <c r="E11" s="37"/>
      <c r="F11" s="37"/>
      <c r="G11" s="37"/>
      <c r="H11" s="37"/>
      <c r="I11" s="37"/>
      <c r="J11" s="37"/>
      <c r="K11" s="37"/>
    </row>
    <row r="12" spans="2:11">
      <c r="B12" s="36" t="s">
        <v>129</v>
      </c>
      <c r="C12" s="36"/>
      <c r="D12" s="36"/>
      <c r="E12" s="36"/>
      <c r="F12" s="36"/>
      <c r="G12" s="36"/>
      <c r="H12" s="36"/>
      <c r="I12" s="36"/>
      <c r="J12" s="36"/>
      <c r="K12" s="36"/>
    </row>
    <row r="13" spans="2:11">
      <c r="B13" s="37" t="s">
        <v>130</v>
      </c>
      <c r="C13" s="37"/>
      <c r="D13" s="37"/>
      <c r="E13" s="37"/>
      <c r="F13" s="37"/>
      <c r="G13" s="37"/>
      <c r="H13" s="37"/>
      <c r="I13" s="37"/>
      <c r="J13" s="37"/>
      <c r="K13" s="37"/>
    </row>
    <row r="14" spans="2:11">
      <c r="B14" s="36" t="s">
        <v>131</v>
      </c>
      <c r="C14" s="36"/>
      <c r="D14" s="36"/>
      <c r="E14" s="36"/>
      <c r="F14" s="36"/>
      <c r="G14" s="36"/>
      <c r="H14" s="36"/>
      <c r="I14" s="36"/>
      <c r="J14" s="36"/>
      <c r="K14" s="36"/>
    </row>
    <row r="15" spans="2:11">
      <c r="B15" s="37" t="s">
        <v>132</v>
      </c>
      <c r="C15" s="37"/>
      <c r="D15" s="37"/>
      <c r="E15" s="37"/>
      <c r="F15" s="37"/>
      <c r="G15" s="37"/>
      <c r="H15" s="37"/>
      <c r="I15" s="37"/>
      <c r="J15" s="37"/>
      <c r="K15" s="37"/>
    </row>
    <row r="17" spans="2:11" ht="22.15" customHeight="1">
      <c r="B17" s="35" t="s">
        <v>133</v>
      </c>
      <c r="C17" s="35"/>
      <c r="D17" s="35"/>
      <c r="E17" s="35"/>
      <c r="F17" s="35"/>
      <c r="G17" s="35"/>
      <c r="H17" s="35"/>
      <c r="I17" s="35"/>
      <c r="J17" s="35"/>
      <c r="K17" s="35"/>
    </row>
    <row r="18" spans="2:11" ht="19.899999999999999" customHeight="1">
      <c r="B18" s="3" t="s">
        <v>134</v>
      </c>
      <c r="C18" s="3" t="s">
        <v>135</v>
      </c>
      <c r="D18" s="3" t="s">
        <v>136</v>
      </c>
      <c r="E18" s="3" t="s">
        <v>137</v>
      </c>
      <c r="F18" s="3" t="s">
        <v>138</v>
      </c>
      <c r="G18" s="3" t="s">
        <v>139</v>
      </c>
    </row>
    <row r="19" spans="2:11">
      <c r="B19" s="4">
        <v>1</v>
      </c>
      <c r="C19" s="4" t="s">
        <v>140</v>
      </c>
      <c r="D19" s="4">
        <v>45</v>
      </c>
      <c r="E19" s="8"/>
      <c r="F19" s="8"/>
      <c r="G19" s="8"/>
    </row>
    <row r="20" spans="2:11">
      <c r="B20" s="5">
        <v>2</v>
      </c>
      <c r="C20" s="5" t="s">
        <v>141</v>
      </c>
      <c r="D20" s="5">
        <v>5</v>
      </c>
      <c r="E20" s="7"/>
      <c r="F20" s="7"/>
      <c r="G20" s="7"/>
    </row>
    <row r="21" spans="2:11">
      <c r="B21" s="4">
        <v>3</v>
      </c>
      <c r="C21" s="4" t="s">
        <v>142</v>
      </c>
      <c r="D21" s="4">
        <v>5</v>
      </c>
      <c r="E21" s="8"/>
      <c r="F21" s="8"/>
      <c r="G21" s="8"/>
    </row>
    <row r="22" spans="2:11">
      <c r="B22" s="4">
        <v>5</v>
      </c>
      <c r="C22" s="4" t="s">
        <v>143</v>
      </c>
      <c r="D22" s="4">
        <v>15</v>
      </c>
      <c r="E22" s="8"/>
      <c r="F22" s="8"/>
      <c r="G22" s="8"/>
    </row>
    <row r="23" spans="2:11">
      <c r="B23" s="5">
        <v>6</v>
      </c>
      <c r="C23" s="5" t="s">
        <v>144</v>
      </c>
      <c r="D23" s="5">
        <v>45</v>
      </c>
      <c r="E23" s="7"/>
      <c r="F23" s="7"/>
      <c r="G23" s="7"/>
    </row>
    <row r="24" spans="2:11" ht="15.75" thickBot="1">
      <c r="B24" s="4">
        <v>7</v>
      </c>
      <c r="C24" s="4" t="s">
        <v>145</v>
      </c>
      <c r="D24" s="4">
        <v>5</v>
      </c>
      <c r="E24" s="8"/>
      <c r="F24" s="8"/>
      <c r="G24" s="8"/>
    </row>
    <row r="25" spans="2:11">
      <c r="B25" s="6"/>
      <c r="C25" s="6" t="s">
        <v>146</v>
      </c>
      <c r="D25" s="6">
        <f>SUM(D19:D24)</f>
        <v>120</v>
      </c>
      <c r="E25" s="6"/>
      <c r="F25" s="6"/>
      <c r="G25" s="6"/>
    </row>
    <row r="27" spans="2:11" ht="22.15" customHeight="1">
      <c r="B27" s="35" t="s">
        <v>147</v>
      </c>
      <c r="C27" s="35"/>
      <c r="D27" s="35"/>
      <c r="E27" s="35"/>
      <c r="F27" s="35"/>
      <c r="G27" s="35"/>
      <c r="H27" s="35"/>
      <c r="I27" s="35"/>
      <c r="J27" s="35"/>
      <c r="K27" s="35"/>
    </row>
    <row r="28" spans="2:11" ht="19.899999999999999" customHeight="1">
      <c r="B28" s="3" t="s">
        <v>42</v>
      </c>
      <c r="C28" s="3" t="s">
        <v>46</v>
      </c>
      <c r="D28" s="3" t="s">
        <v>148</v>
      </c>
      <c r="E28" s="3" t="s">
        <v>149</v>
      </c>
      <c r="F28" s="3" t="s">
        <v>150</v>
      </c>
      <c r="G28" s="3" t="s">
        <v>151</v>
      </c>
      <c r="H28" s="3" t="s">
        <v>152</v>
      </c>
      <c r="I28" s="3" t="s">
        <v>153</v>
      </c>
      <c r="J28" s="3" t="s">
        <v>154</v>
      </c>
      <c r="K28" s="3" t="s">
        <v>155</v>
      </c>
    </row>
    <row r="29" spans="2:11" ht="15.75">
      <c r="B29" s="51" t="s">
        <v>47</v>
      </c>
      <c r="C29" s="52" t="s">
        <v>156</v>
      </c>
      <c r="D29" s="51" t="s">
        <v>157</v>
      </c>
      <c r="E29" s="53">
        <v>250000</v>
      </c>
      <c r="F29" s="65">
        <v>186657</v>
      </c>
      <c r="G29" s="88">
        <v>-63343</v>
      </c>
      <c r="H29" s="64"/>
      <c r="I29" s="64"/>
      <c r="J29" s="64"/>
      <c r="K29" s="67">
        <f>J29-I29</f>
        <v>0</v>
      </c>
    </row>
    <row r="30" spans="2:11" ht="15.75">
      <c r="B30" s="55" t="s">
        <v>51</v>
      </c>
      <c r="C30" s="56" t="s">
        <v>156</v>
      </c>
      <c r="D30" s="55" t="s">
        <v>157</v>
      </c>
      <c r="E30" s="57">
        <v>0.5</v>
      </c>
      <c r="F30" s="65">
        <v>61.9</v>
      </c>
      <c r="G30" s="89">
        <v>11.9</v>
      </c>
      <c r="H30" s="65"/>
      <c r="I30" s="65"/>
      <c r="J30" s="65"/>
      <c r="K30" s="68">
        <v>9.18</v>
      </c>
    </row>
    <row r="31" spans="2:11" ht="15.75">
      <c r="B31" s="51" t="s">
        <v>162</v>
      </c>
      <c r="C31" s="56" t="s">
        <v>163</v>
      </c>
      <c r="D31" s="51" t="s">
        <v>164</v>
      </c>
      <c r="E31" s="61" t="s">
        <v>165</v>
      </c>
      <c r="F31" s="65">
        <v>32.299999999999997</v>
      </c>
      <c r="G31" s="65"/>
      <c r="H31" s="64"/>
      <c r="I31" s="64"/>
      <c r="J31" s="64"/>
      <c r="K31" s="64">
        <v>-12</v>
      </c>
    </row>
    <row r="32" spans="2:11" ht="15.75">
      <c r="B32" s="55" t="s">
        <v>166</v>
      </c>
      <c r="C32" s="56" t="s">
        <v>163</v>
      </c>
      <c r="D32" s="55" t="s">
        <v>164</v>
      </c>
      <c r="E32" s="62" t="s">
        <v>167</v>
      </c>
      <c r="F32" s="65">
        <v>37.799999999999997</v>
      </c>
      <c r="G32" s="65"/>
      <c r="H32" s="65"/>
      <c r="I32" s="65"/>
      <c r="J32" s="65"/>
      <c r="K32" s="64">
        <v>7</v>
      </c>
    </row>
    <row r="33" spans="2:12" ht="15.75">
      <c r="B33" s="51" t="s">
        <v>168</v>
      </c>
      <c r="C33" s="52" t="s">
        <v>169</v>
      </c>
      <c r="D33" s="51" t="s">
        <v>164</v>
      </c>
      <c r="E33" s="61" t="s">
        <v>170</v>
      </c>
      <c r="F33" s="65">
        <v>116</v>
      </c>
      <c r="G33" s="65"/>
      <c r="H33" s="64"/>
      <c r="I33" s="64"/>
      <c r="J33" s="64">
        <v>139</v>
      </c>
      <c r="K33" s="64">
        <v>702</v>
      </c>
    </row>
    <row r="34" spans="2:12" ht="15.75">
      <c r="B34" s="55" t="s">
        <v>67</v>
      </c>
      <c r="C34" s="56" t="s">
        <v>169</v>
      </c>
      <c r="D34" s="55" t="s">
        <v>164</v>
      </c>
      <c r="E34" s="62" t="s">
        <v>171</v>
      </c>
      <c r="F34" s="65">
        <v>3.15</v>
      </c>
      <c r="G34" s="65"/>
      <c r="H34" s="65"/>
      <c r="I34" s="65"/>
      <c r="J34" s="65">
        <v>2.63</v>
      </c>
      <c r="K34" s="65">
        <v>0.5</v>
      </c>
      <c r="L34" t="s">
        <v>266</v>
      </c>
    </row>
    <row r="35" spans="2:12" ht="15.75">
      <c r="B35" s="51" t="s">
        <v>70</v>
      </c>
      <c r="C35" s="52" t="s">
        <v>172</v>
      </c>
      <c r="D35" s="51" t="s">
        <v>157</v>
      </c>
      <c r="E35" s="60">
        <v>0.95</v>
      </c>
      <c r="F35" s="65">
        <v>78.37</v>
      </c>
      <c r="G35" s="65"/>
      <c r="H35" s="64"/>
      <c r="I35" s="64"/>
      <c r="J35" s="64">
        <v>80.209999999999994</v>
      </c>
      <c r="K35" s="64">
        <v>79.84</v>
      </c>
      <c r="L35" s="46"/>
    </row>
    <row r="36" spans="2:12" ht="15.75">
      <c r="B36" s="51" t="s">
        <v>73</v>
      </c>
      <c r="C36" s="52" t="s">
        <v>163</v>
      </c>
      <c r="D36" s="51" t="s">
        <v>164</v>
      </c>
      <c r="E36" s="53">
        <v>250000</v>
      </c>
      <c r="F36" s="90">
        <v>237564</v>
      </c>
      <c r="G36" s="88"/>
      <c r="H36" s="64"/>
      <c r="I36" s="64">
        <v>237500</v>
      </c>
      <c r="J36" s="64">
        <v>312000</v>
      </c>
      <c r="K36" s="64">
        <v>212000</v>
      </c>
    </row>
    <row r="37" spans="2:12" ht="15.75">
      <c r="B37" s="55" t="s">
        <v>82</v>
      </c>
      <c r="C37" s="56" t="s">
        <v>175</v>
      </c>
      <c r="D37" s="55" t="s">
        <v>164</v>
      </c>
      <c r="E37" s="62"/>
      <c r="F37" s="65" t="s">
        <v>247</v>
      </c>
      <c r="G37" s="88" t="s">
        <v>248</v>
      </c>
      <c r="H37" s="65"/>
      <c r="I37" s="65">
        <v>84</v>
      </c>
      <c r="J37" s="65">
        <v>74</v>
      </c>
      <c r="K37" s="65">
        <v>59</v>
      </c>
    </row>
    <row r="38" spans="2:12" ht="15.75">
      <c r="B38" s="51" t="s">
        <v>176</v>
      </c>
      <c r="C38" s="52" t="s">
        <v>156</v>
      </c>
      <c r="D38" s="51" t="s">
        <v>157</v>
      </c>
      <c r="E38" s="61" t="s">
        <v>177</v>
      </c>
      <c r="F38" s="65">
        <v>0</v>
      </c>
      <c r="G38" s="65">
        <v>-1</v>
      </c>
      <c r="H38" s="64"/>
      <c r="I38" s="64"/>
      <c r="J38" s="64"/>
      <c r="K38" s="64"/>
    </row>
    <row r="39" spans="2:12" ht="15.75">
      <c r="B39" s="55" t="s">
        <v>178</v>
      </c>
      <c r="C39" s="56" t="s">
        <v>175</v>
      </c>
      <c r="D39" s="55" t="s">
        <v>157</v>
      </c>
      <c r="E39" s="57">
        <v>0.85</v>
      </c>
      <c r="F39" s="65"/>
      <c r="G39" s="65"/>
      <c r="H39" s="65"/>
      <c r="I39" s="65">
        <v>89.9</v>
      </c>
      <c r="J39" s="65">
        <v>92.3</v>
      </c>
      <c r="K39" s="65">
        <v>90.1</v>
      </c>
    </row>
    <row r="41" spans="2:12" ht="22.15" customHeight="1">
      <c r="B41" s="35" t="s">
        <v>179</v>
      </c>
      <c r="C41" s="35"/>
      <c r="D41" s="35"/>
      <c r="E41" s="35"/>
      <c r="F41" s="35"/>
      <c r="G41" s="35"/>
      <c r="H41" s="35"/>
      <c r="I41" s="35"/>
      <c r="J41" s="35"/>
      <c r="K41" s="35"/>
    </row>
    <row r="42" spans="2:12" ht="19.899999999999999" customHeight="1">
      <c r="B42" s="3" t="s">
        <v>180</v>
      </c>
      <c r="C42" s="3" t="s">
        <v>46</v>
      </c>
      <c r="D42" s="3" t="s">
        <v>148</v>
      </c>
      <c r="E42" s="3" t="s">
        <v>181</v>
      </c>
      <c r="F42" s="3" t="s">
        <v>139</v>
      </c>
      <c r="G42" s="3" t="s">
        <v>182</v>
      </c>
    </row>
    <row r="43" spans="2:12" ht="15.75">
      <c r="B43" s="47" t="s">
        <v>183</v>
      </c>
      <c r="C43" s="48" t="s">
        <v>169</v>
      </c>
      <c r="D43" s="47" t="s">
        <v>157</v>
      </c>
      <c r="E43" s="48" t="s">
        <v>184</v>
      </c>
      <c r="F43" s="48" t="s">
        <v>188</v>
      </c>
      <c r="G43" s="48" t="s">
        <v>250</v>
      </c>
      <c r="H43" s="27" t="s">
        <v>251</v>
      </c>
    </row>
    <row r="44" spans="2:12" ht="15.75">
      <c r="B44" s="47" t="s">
        <v>187</v>
      </c>
      <c r="C44" s="48" t="s">
        <v>156</v>
      </c>
      <c r="D44" s="47" t="s">
        <v>157</v>
      </c>
      <c r="E44" s="48" t="s">
        <v>184</v>
      </c>
      <c r="F44" s="48" t="s">
        <v>255</v>
      </c>
      <c r="G44" s="48" t="s">
        <v>267</v>
      </c>
      <c r="H44" s="27" t="s">
        <v>253</v>
      </c>
    </row>
    <row r="45" spans="2:12" ht="15.75">
      <c r="B45" s="49" t="s">
        <v>190</v>
      </c>
      <c r="C45" s="50" t="s">
        <v>163</v>
      </c>
      <c r="D45" s="49" t="s">
        <v>159</v>
      </c>
      <c r="E45" s="50" t="s">
        <v>184</v>
      </c>
      <c r="F45" s="50" t="s">
        <v>188</v>
      </c>
      <c r="G45" s="50"/>
    </row>
    <row r="46" spans="2:12" ht="15.75">
      <c r="B46" s="49" t="s">
        <v>192</v>
      </c>
      <c r="C46" s="50" t="s">
        <v>163</v>
      </c>
      <c r="D46" s="49" t="s">
        <v>164</v>
      </c>
      <c r="E46" s="50" t="s">
        <v>184</v>
      </c>
      <c r="F46" s="50" t="s">
        <v>188</v>
      </c>
      <c r="G46" s="50"/>
    </row>
    <row r="47" spans="2:12" ht="15.75">
      <c r="B47" s="47" t="s">
        <v>193</v>
      </c>
      <c r="C47" s="48" t="s">
        <v>163</v>
      </c>
      <c r="D47" s="47" t="s">
        <v>164</v>
      </c>
      <c r="E47" s="48" t="s">
        <v>184</v>
      </c>
      <c r="F47" s="48" t="s">
        <v>188</v>
      </c>
      <c r="G47" s="48"/>
    </row>
    <row r="48" spans="2:12" ht="15.75">
      <c r="B48" s="49" t="s">
        <v>194</v>
      </c>
      <c r="C48" s="50" t="s">
        <v>195</v>
      </c>
      <c r="D48" s="49" t="s">
        <v>164</v>
      </c>
      <c r="E48" s="48" t="s">
        <v>184</v>
      </c>
      <c r="F48" s="50" t="s">
        <v>255</v>
      </c>
      <c r="G48" s="50"/>
    </row>
    <row r="49" spans="2:11" ht="15.75">
      <c r="B49" s="47" t="s">
        <v>196</v>
      </c>
      <c r="C49" s="48" t="s">
        <v>163</v>
      </c>
      <c r="D49" s="47" t="s">
        <v>164</v>
      </c>
      <c r="E49" s="48" t="s">
        <v>184</v>
      </c>
      <c r="F49" s="48" t="s">
        <v>188</v>
      </c>
      <c r="G49" s="48"/>
    </row>
    <row r="50" spans="2:11" ht="15.75">
      <c r="B50" s="69" t="s">
        <v>197</v>
      </c>
      <c r="C50" s="70" t="s">
        <v>156</v>
      </c>
      <c r="D50" s="69" t="s">
        <v>164</v>
      </c>
      <c r="E50" s="48" t="s">
        <v>184</v>
      </c>
      <c r="F50" s="70" t="s">
        <v>188</v>
      </c>
      <c r="G50" s="70" t="s">
        <v>268</v>
      </c>
    </row>
    <row r="51" spans="2:11" ht="15.75">
      <c r="B51" s="71"/>
      <c r="C51" s="70"/>
      <c r="D51" s="69" t="s">
        <v>164</v>
      </c>
      <c r="E51" s="48" t="s">
        <v>184</v>
      </c>
      <c r="F51" s="71"/>
      <c r="G51" s="71"/>
    </row>
    <row r="52" spans="2:11" ht="22.15" customHeight="1">
      <c r="B52" s="35" t="s">
        <v>199</v>
      </c>
      <c r="C52" s="35"/>
      <c r="D52" s="35"/>
      <c r="E52" s="35"/>
      <c r="F52" s="35"/>
      <c r="G52" s="35"/>
      <c r="H52" s="35"/>
      <c r="I52" s="35"/>
      <c r="J52" s="35"/>
      <c r="K52" s="35"/>
    </row>
    <row r="53" spans="2:11" ht="19.899999999999999" customHeight="1">
      <c r="B53" s="3" t="s">
        <v>200</v>
      </c>
      <c r="C53" s="3" t="s">
        <v>46</v>
      </c>
      <c r="D53" s="3" t="s">
        <v>148</v>
      </c>
      <c r="E53" s="3" t="s">
        <v>181</v>
      </c>
      <c r="F53" s="3" t="s">
        <v>201</v>
      </c>
    </row>
    <row r="54" spans="2:11" ht="15.75">
      <c r="B54" s="75" t="s">
        <v>206</v>
      </c>
      <c r="C54" s="48" t="s">
        <v>156</v>
      </c>
      <c r="D54" s="49" t="s">
        <v>157</v>
      </c>
      <c r="E54" s="76"/>
      <c r="F54" s="76" t="s">
        <v>203</v>
      </c>
      <c r="G54" s="71" t="s">
        <v>269</v>
      </c>
      <c r="H54" s="71"/>
      <c r="I54" s="71"/>
    </row>
    <row r="55" spans="2:11" ht="15.75">
      <c r="B55" s="75" t="s">
        <v>212</v>
      </c>
      <c r="C55" s="48" t="s">
        <v>156</v>
      </c>
      <c r="D55" s="49"/>
      <c r="E55" s="77">
        <v>46140</v>
      </c>
      <c r="F55" s="76" t="s">
        <v>208</v>
      </c>
      <c r="G55" s="92" t="s">
        <v>256</v>
      </c>
      <c r="H55" s="71"/>
      <c r="I55" s="71"/>
    </row>
    <row r="56" spans="2:11" ht="15.75">
      <c r="B56" s="78" t="s">
        <v>213</v>
      </c>
      <c r="C56" s="48" t="s">
        <v>169</v>
      </c>
      <c r="D56" s="49"/>
      <c r="E56" s="86">
        <v>46140</v>
      </c>
      <c r="F56" s="79" t="s">
        <v>208</v>
      </c>
      <c r="G56" s="71" t="s">
        <v>260</v>
      </c>
      <c r="H56" s="71"/>
      <c r="I56" s="71"/>
    </row>
    <row r="57" spans="2:11" ht="15.75">
      <c r="B57" s="71"/>
      <c r="C57" s="48" t="s">
        <v>156</v>
      </c>
      <c r="D57" s="49"/>
      <c r="E57" s="71"/>
      <c r="F57" s="71"/>
      <c r="G57" s="71"/>
      <c r="H57" s="71"/>
      <c r="I57" s="71"/>
    </row>
    <row r="58" spans="2:11" ht="22.15" customHeight="1">
      <c r="B58" s="35" t="s">
        <v>214</v>
      </c>
      <c r="C58" s="35"/>
      <c r="D58" s="35"/>
      <c r="E58" s="35"/>
      <c r="F58" s="35"/>
      <c r="G58" s="35"/>
      <c r="H58" s="35"/>
      <c r="I58" s="35"/>
      <c r="J58" s="35"/>
      <c r="K58" s="35"/>
    </row>
    <row r="59" spans="2:11" ht="19.899999999999999" customHeight="1">
      <c r="B59" s="3" t="s">
        <v>215</v>
      </c>
      <c r="C59" s="3" t="s">
        <v>216</v>
      </c>
      <c r="D59" s="3" t="s">
        <v>46</v>
      </c>
      <c r="E59" s="3" t="s">
        <v>148</v>
      </c>
      <c r="F59" s="3" t="s">
        <v>217</v>
      </c>
      <c r="G59" s="3" t="s">
        <v>218</v>
      </c>
      <c r="H59" s="3" t="s">
        <v>181</v>
      </c>
    </row>
    <row r="60" spans="2:11">
      <c r="B60" s="5" t="s">
        <v>219</v>
      </c>
      <c r="C60" s="7" t="s">
        <v>220</v>
      </c>
      <c r="D60" s="7" t="s">
        <v>221</v>
      </c>
      <c r="E60" s="7" t="s">
        <v>157</v>
      </c>
      <c r="F60" s="80"/>
      <c r="G60" s="7"/>
      <c r="H60" s="7"/>
    </row>
    <row r="61" spans="2:11">
      <c r="B61" s="39" t="s">
        <v>261</v>
      </c>
      <c r="C61" s="9"/>
      <c r="D61" s="9" t="s">
        <v>262</v>
      </c>
      <c r="E61" s="9"/>
      <c r="F61" s="81"/>
      <c r="G61" s="9" t="s">
        <v>263</v>
      </c>
      <c r="H61" s="85"/>
    </row>
    <row r="62" spans="2:11">
      <c r="B62" s="38"/>
      <c r="C62" s="10"/>
      <c r="D62" s="10"/>
      <c r="E62" s="10"/>
      <c r="F62" s="82"/>
      <c r="G62" s="10"/>
      <c r="H62" s="85"/>
    </row>
    <row r="63" spans="2:11">
      <c r="B63" s="39"/>
      <c r="C63" s="9" t="s">
        <v>220</v>
      </c>
      <c r="D63" s="9" t="s">
        <v>228</v>
      </c>
      <c r="E63" s="9" t="s">
        <v>164</v>
      </c>
      <c r="F63" s="81"/>
      <c r="G63" s="9" t="s">
        <v>264</v>
      </c>
      <c r="H63" s="85">
        <v>46143</v>
      </c>
    </row>
    <row r="64" spans="2:11">
      <c r="B64" s="38" t="s">
        <v>229</v>
      </c>
      <c r="C64" s="10" t="s">
        <v>230</v>
      </c>
      <c r="D64" s="10" t="s">
        <v>231</v>
      </c>
      <c r="E64" s="10" t="s">
        <v>164</v>
      </c>
      <c r="F64" s="82" t="s">
        <v>232</v>
      </c>
      <c r="G64" s="10"/>
      <c r="H64" s="10"/>
    </row>
    <row r="65" spans="2:11">
      <c r="B65" s="39"/>
      <c r="C65" s="9"/>
      <c r="D65" s="9"/>
      <c r="E65" s="9"/>
      <c r="F65" s="81"/>
      <c r="G65" s="9" t="s">
        <v>265</v>
      </c>
      <c r="H65" s="9"/>
    </row>
    <row r="66" spans="2:11">
      <c r="B66" s="38" t="s">
        <v>235</v>
      </c>
      <c r="C66" s="10" t="s">
        <v>220</v>
      </c>
      <c r="D66" s="10"/>
      <c r="E66" s="10"/>
      <c r="F66" s="82"/>
      <c r="G66" s="10"/>
      <c r="H66" s="10"/>
    </row>
    <row r="67" spans="2:11">
      <c r="B67" s="39" t="s">
        <v>236</v>
      </c>
      <c r="C67" s="9" t="s">
        <v>230</v>
      </c>
      <c r="D67" s="9"/>
      <c r="E67" s="9"/>
      <c r="F67" s="81"/>
      <c r="G67" s="9"/>
      <c r="H67" s="9"/>
    </row>
    <row r="68" spans="2:11">
      <c r="B68" s="38" t="s">
        <v>237</v>
      </c>
      <c r="C68" s="10" t="s">
        <v>223</v>
      </c>
      <c r="D68" s="10"/>
      <c r="E68" s="10"/>
      <c r="F68" s="82"/>
      <c r="G68" s="10"/>
      <c r="H68" s="10"/>
    </row>
    <row r="69" spans="2:11">
      <c r="B69" s="40" t="s">
        <v>238</v>
      </c>
      <c r="C69" s="11" t="s">
        <v>230</v>
      </c>
      <c r="D69" s="11" t="s">
        <v>224</v>
      </c>
      <c r="E69" s="11"/>
      <c r="F69" s="83"/>
      <c r="G69" s="11"/>
      <c r="H69" s="11"/>
    </row>
    <row r="70" spans="2:11">
      <c r="B70" s="27" t="s">
        <v>239</v>
      </c>
      <c r="F70" s="84"/>
    </row>
    <row r="71" spans="2:11" ht="22.15" customHeight="1">
      <c r="B71" s="35" t="s">
        <v>240</v>
      </c>
      <c r="C71" s="35"/>
      <c r="D71" s="35"/>
      <c r="E71" s="35"/>
      <c r="F71" s="35"/>
      <c r="G71" s="35"/>
      <c r="H71" s="35"/>
      <c r="I71" s="35"/>
      <c r="J71" s="35"/>
      <c r="K71" s="35"/>
    </row>
    <row r="72" spans="2:11">
      <c r="B72" s="41" t="s">
        <v>241</v>
      </c>
      <c r="C72" s="42"/>
      <c r="D72" s="42"/>
      <c r="E72" s="42"/>
      <c r="F72" s="42"/>
      <c r="G72" s="42"/>
      <c r="H72" s="42"/>
      <c r="I72" s="42"/>
      <c r="J72" s="42"/>
      <c r="K72" s="42"/>
    </row>
    <row r="73" spans="2:11">
      <c r="B73" s="43"/>
      <c r="C73" s="42"/>
      <c r="D73" s="42"/>
      <c r="E73" s="42"/>
      <c r="F73" s="42"/>
      <c r="G73" s="42"/>
      <c r="H73" s="42"/>
      <c r="I73" s="42"/>
      <c r="J73" s="42"/>
      <c r="K73" s="42"/>
    </row>
    <row r="74" spans="2:11">
      <c r="B74" s="41" t="s">
        <v>242</v>
      </c>
      <c r="C74" s="42"/>
      <c r="D74" s="42"/>
      <c r="E74" s="42"/>
      <c r="F74" s="42"/>
      <c r="G74" s="42"/>
      <c r="H74" s="42"/>
      <c r="I74" s="42"/>
      <c r="J74" s="42"/>
      <c r="K74" s="42"/>
    </row>
    <row r="75" spans="2:11">
      <c r="B75" s="43"/>
      <c r="C75" s="42"/>
      <c r="D75" s="42"/>
      <c r="E75" s="42"/>
      <c r="F75" s="42"/>
      <c r="G75" s="42"/>
      <c r="H75" s="42"/>
      <c r="I75" s="42"/>
      <c r="J75" s="42"/>
      <c r="K75" s="42"/>
    </row>
    <row r="76" spans="2:11">
      <c r="B76" s="41" t="s">
        <v>243</v>
      </c>
      <c r="C76" s="42"/>
      <c r="D76" s="41" t="s">
        <v>244</v>
      </c>
      <c r="E76" s="42"/>
      <c r="F76" s="42"/>
      <c r="G76" s="42"/>
      <c r="H76" s="42"/>
      <c r="I76" s="42"/>
      <c r="J76" s="42"/>
      <c r="K76" s="42"/>
    </row>
    <row r="77" spans="2:11">
      <c r="B77" s="41" t="s">
        <v>245</v>
      </c>
      <c r="C77" s="42"/>
      <c r="D77" s="42"/>
      <c r="E77" s="42"/>
      <c r="F77" s="42"/>
      <c r="G77" s="42"/>
      <c r="H77" s="42"/>
      <c r="I77" s="42"/>
      <c r="J77" s="42"/>
      <c r="K77" s="42"/>
    </row>
    <row r="78" spans="2:11">
      <c r="B78" s="44"/>
      <c r="C78" s="45"/>
      <c r="D78" s="45"/>
      <c r="E78" s="45"/>
      <c r="F78" s="45"/>
      <c r="G78" s="45"/>
      <c r="H78" s="45"/>
      <c r="I78" s="45"/>
      <c r="J78" s="45"/>
      <c r="K78" s="45"/>
    </row>
  </sheetData>
  <conditionalFormatting sqref="C60:C69">
    <cfRule type="containsText" dxfId="6" priority="5" operator="containsText" text="1 - Critical">
      <formula>NOT(ISERROR(SEARCH("1 - Critical",C60)))</formula>
    </cfRule>
    <cfRule type="containsText" dxfId="5" priority="6" operator="containsText" text="2 - High">
      <formula>NOT(ISERROR(SEARCH("2 - High",C60)))</formula>
    </cfRule>
    <cfRule type="containsText" dxfId="4" priority="7" operator="containsText" text="3 - Medium">
      <formula>NOT(ISERROR(SEARCH("3 - Medium",C60)))</formula>
    </cfRule>
  </conditionalFormatting>
  <conditionalFormatting sqref="F43:F50">
    <cfRule type="containsText" dxfId="3" priority="1" operator="containsText" text="On Track">
      <formula>NOT(ISERROR(SEARCH("On Track",F43)))</formula>
    </cfRule>
    <cfRule type="containsText" dxfId="2" priority="2" operator="containsText" text="Off Track">
      <formula>NOT(ISERROR(SEARCH("Off Track",F43)))</formula>
    </cfRule>
  </conditionalFormatting>
  <conditionalFormatting sqref="F54:F56">
    <cfRule type="containsText" dxfId="1" priority="3" operator="containsText" text="Yes">
      <formula>NOT(ISERROR(SEARCH("Yes",F54)))</formula>
    </cfRule>
    <cfRule type="containsText" dxfId="0" priority="4" operator="containsText" text="No">
      <formula>NOT(ISERROR(SEARCH("No",F54)))</formula>
    </cfRule>
  </conditionalFormatting>
  <dataValidations count="8">
    <dataValidation type="list" allowBlank="1" showInputMessage="1" showErrorMessage="1" sqref="C60:C69" xr:uid="{4AF245FC-B2C2-461D-924E-4ECEDC7EF6EE}">
      <formula1>"1 - Critical,2 - High,3 - Medium"</formula1>
    </dataValidation>
    <dataValidation type="list" allowBlank="1" showInputMessage="1" showErrorMessage="1" sqref="E60:E69 D43:D51 D54:D57" xr:uid="{1C85FCC7-482D-4B2A-9573-EDB5EC15C7B5}">
      <formula1>"FS,BL,USA,ALL"</formula1>
    </dataValidation>
    <dataValidation type="list" allowBlank="1" showInputMessage="1" showErrorMessage="1" sqref="G19:G24" xr:uid="{CD6C02CE-5038-4482-99DF-BBDD27213ACF}">
      <formula1>"✓ Done,In Progress,Skipped"</formula1>
    </dataValidation>
    <dataValidation type="list" allowBlank="1" showInputMessage="1" showErrorMessage="1" sqref="C43:C51 C54:C57" xr:uid="{99B18644-06BC-4D8B-B1E5-96E3F4A9DDD6}">
      <formula1>"ANDREW, NICK, MIKE, TOM, TIM, CHRIS B, CHRIS C, CHIP, CRAIG, DANIEL"</formula1>
    </dataValidation>
    <dataValidation type="list" allowBlank="1" showInputMessage="1" showErrorMessage="1" sqref="C29:C39" xr:uid="{A08B4DCA-BFA9-461E-86AF-1C8A30690E57}">
      <formula1>"ANDREW, NICK, CRAIG, TOM, CHRIS B, CHRIS C, TIM, MIKE, CHIP , DANIEL"</formula1>
    </dataValidation>
    <dataValidation type="list" allowBlank="1" showInputMessage="1" showErrorMessage="1" sqref="D29:D39" xr:uid="{27E4A99D-51B7-48B0-BDD6-58C2AC848E30}">
      <formula1>"FS, BL, USA, ALL "</formula1>
    </dataValidation>
    <dataValidation type="list" allowBlank="1" showInputMessage="1" showErrorMessage="1" sqref="F43:F51" xr:uid="{21581E7B-9F67-4E42-99F5-53867791E055}">
      <formula1>"On Track,Off Track, completed"</formula1>
    </dataValidation>
    <dataValidation type="list" allowBlank="1" showInputMessage="1" showErrorMessage="1" sqref="F54:F56" xr:uid="{AB30F6AF-70F9-4A7C-90B7-4B274E5ACD19}">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8438B-D167-4DBD-932D-2FE80415DBC3}">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Clark</dc:creator>
  <cp:keywords/>
  <dc:description/>
  <cp:lastModifiedBy>Guest User</cp:lastModifiedBy>
  <cp:revision/>
  <dcterms:created xsi:type="dcterms:W3CDTF">2026-04-06T21:14:47Z</dcterms:created>
  <dcterms:modified xsi:type="dcterms:W3CDTF">2026-05-11T16:56:05Z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ortcut_file_id">
    <vt:lpwstr>b42e9f4c-8110-4ccf-a0e8-aac02466c0b6</vt:lpwstr>
  </property>
</Properties>
</file>